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code\demo-kit-data\cowork-rfi-rfp\templates\en\"/>
    </mc:Choice>
  </mc:AlternateContent>
  <bookViews>
    <workbookView xWindow="-120" yWindow="-120" windowWidth="51840" windowHeight="21120" xr2:uid="{00000000-000D-0000-FFFF-FFFF00000000}"/>
  </bookViews>
  <sheets>
    <sheet name="Run" sheetId="1" r:id="rId1"/>
    <sheet name="QUAL" sheetId="2" r:id="rId2"/>
    <sheet name="ARCH" sheetId="3" r:id="rId3"/>
    <sheet name="NET" sheetId="4" r:id="rId4"/>
    <sheet name="SEC" sheetId="5" r:id="rId5"/>
    <sheet name="DATA" sheetId="6" r:id="rId6"/>
    <sheet name="EVID" sheetId="7" r:id="rId7"/>
    <sheet name="OPS" sheetId="8" r:id="rId8"/>
    <sheet name="SUPPORT" sheetId="9" r:id="rId9"/>
    <sheet name="IMPL" sheetId="10" r:id="rId10"/>
    <sheet name="SUPPLY" sheetId="11" r:id="rId11"/>
    <sheet name="LEGAL" sheetId="12" r:id="rId12"/>
    <sheet name="COMM" sheetId="13" r:id="rId13"/>
    <sheet name="Assumptions" sheetId="14" r:id="rId14"/>
    <sheet name="Pricing" sheetId="15" r:id="rId15"/>
    <sheet name="TCO" sheetId="16" r:id="rId16"/>
  </sheets>
  <definedNames>
    <definedName name="_xlnm._FilterDatabase" localSheetId="13" hidden="1">Assumptions!$A$1:$C$7</definedName>
    <definedName name="_xlnm._FilterDatabase" localSheetId="14" hidden="1">Pricing!$A$1:$L$11</definedName>
    <definedName name="_xlnm._FilterDatabase" localSheetId="0" hidden="1">Run!$A$1:$B$12</definedName>
    <definedName name="_xlnm._FilterDatabase" localSheetId="15" hidden="1">TCO!$A$1:$C$7</definedName>
    <definedName name="_xlnm.Print_Titles" localSheetId="2">ARCH!$1:$1</definedName>
    <definedName name="_xlnm.Print_Titles" localSheetId="13">Assumptions!$1:$1</definedName>
    <definedName name="_xlnm.Print_Titles" localSheetId="12">COMM!$1:$1</definedName>
    <definedName name="_xlnm.Print_Titles" localSheetId="5">DATA!$1:$1</definedName>
    <definedName name="_xlnm.Print_Titles" localSheetId="6">EVID!$1:$1</definedName>
    <definedName name="_xlnm.Print_Titles" localSheetId="9">IMPL!$1:$1</definedName>
    <definedName name="_xlnm.Print_Titles" localSheetId="11">LEGAL!$1:$1</definedName>
    <definedName name="_xlnm.Print_Titles" localSheetId="3">NET!$1:$1</definedName>
    <definedName name="_xlnm.Print_Titles" localSheetId="7">OPS!$1:$1</definedName>
    <definedName name="_xlnm.Print_Titles" localSheetId="14">Pricing!$1:$1</definedName>
    <definedName name="_xlnm.Print_Titles" localSheetId="1">QUAL!$1:$1</definedName>
    <definedName name="_xlnm.Print_Titles" localSheetId="0">Run!$1:$1</definedName>
    <definedName name="_xlnm.Print_Titles" localSheetId="4">SEC!$1:$1</definedName>
    <definedName name="_xlnm.Print_Titles" localSheetId="10">SUPPLY!$1:$1</definedName>
    <definedName name="_xlnm.Print_Titles" localSheetId="8">SUPPORT!$1:$1</definedName>
    <definedName name="_xlnm.Print_Titles" localSheetId="15">TCO!$1:$1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<sst xmlns="http://schemas.openxmlformats.org/spreadsheetml/2006/main" count="1102" uniqueCount="389">
  <si>
    <t>Field</t>
  </si>
  <si>
    <t>Value</t>
  </si>
  <si>
    <t>Run ID</t>
  </si>
  <si>
    <t>MASTER</t>
  </si>
  <si>
    <t>Language</t>
  </si>
  <si>
    <t>en</t>
  </si>
  <si>
    <t>Variant</t>
  </si>
  <si>
    <t>full</t>
  </si>
  <si>
    <t>Requirement count</t>
  </si>
  <si>
    <t>Output folder</t>
  </si>
  <si>
    <t>MASTER - DO NOT EDIT</t>
  </si>
  <si>
    <t>Contract version</t>
  </si>
  <si>
    <t>2026.10.13-v1</t>
  </si>
  <si>
    <t>State</t>
  </si>
  <si>
    <t>NEW</t>
  </si>
  <si>
    <t>Customer to verify live</t>
  </si>
  <si>
    <t>Woodgrove Bank</t>
  </si>
  <si>
    <t>Warning</t>
  </si>
  <si>
    <t>FICTIONAL DEMO. Only use an untouched run; never edit this master. No Save quote, sends or orders.</t>
  </si>
  <si>
    <t>Editing contract</t>
  </si>
  <si>
    <t>Edit I:P on question sheets, designated pricing inputs and Run B8 only. Keep IDs, questions, formats and formulas.</t>
  </si>
  <si>
    <t>Completion</t>
  </si>
  <si>
    <t>Every question needs an evidenced answer or explained OPEN/BLOCKED/GAP/REVIEW. N/A requires a proven condition. DRAFT only.</t>
  </si>
  <si>
    <t>ID</t>
  </si>
  <si>
    <t>Parent</t>
  </si>
  <si>
    <t>Priority</t>
  </si>
  <si>
    <t>Requirement</t>
  </si>
  <si>
    <t>Format</t>
  </si>
  <si>
    <t>Max characters</t>
  </si>
  <si>
    <t>Applies when</t>
  </si>
  <si>
    <t>Evidence required</t>
  </si>
  <si>
    <t>Answer</t>
  </si>
  <si>
    <t>Status</t>
  </si>
  <si>
    <t>Source ID</t>
  </si>
  <si>
    <t>Version</t>
  </si>
  <si>
    <t>Section</t>
  </si>
  <si>
    <t>Cloud link</t>
  </si>
  <si>
    <t>Open point</t>
  </si>
  <si>
    <t>Review</t>
  </si>
  <si>
    <t>Characters</t>
  </si>
  <si>
    <t>Limit check</t>
  </si>
  <si>
    <t>QUAL-01</t>
  </si>
  <si>
    <t>MUST</t>
  </si>
  <si>
    <t>Identify the bidding legal entity, delivery scope and countries covered; distinguish subcontractors from Contoso.</t>
  </si>
  <si>
    <t>Concise text; evidence in source columns</t>
  </si>
  <si>
    <t>Always</t>
  </si>
  <si>
    <t>Approved KB-QUAL section and actual link; external test/certificate when requested</t>
  </si>
  <si>
    <t>QUAL-02</t>
  </si>
  <si>
    <t>Provide audited financial statements for the last three years and explain any missing year.</t>
  </si>
  <si>
    <t>QUAL-03</t>
  </si>
  <si>
    <t>Name two reference projects with at least twelve banking sites; provide permission to contact each reference.</t>
  </si>
  <si>
    <t>QUAL-04</t>
  </si>
  <si>
    <t>Describe the engineering team and evidence of current network qualifications; do not list unverified individuals.</t>
  </si>
  <si>
    <t>QUAL-05</t>
  </si>
  <si>
    <t>Disclose sanctions-screening and anti-bribery controls, owners and the frequency of review.</t>
  </si>
  <si>
    <t>QUAL-06</t>
  </si>
  <si>
    <t>State which subcontractors can access bank systems and how changes require bank approval.</t>
  </si>
  <si>
    <t>QUAL-07</t>
  </si>
  <si>
    <t>Provide professional indemnity and cyber-insurance limits, expiry dates and actual policy evidence.</t>
  </si>
  <si>
    <t>QUAL-08</t>
  </si>
  <si>
    <t>Explain how conflicts of interest are checked before assigning staff to this bank.</t>
  </si>
  <si>
    <t>QUAL-09</t>
  </si>
  <si>
    <t>SHOULD</t>
  </si>
  <si>
    <t>Provide an accessibility policy and evidence that operational documentation meets WCAG 2.2 AA.</t>
  </si>
  <si>
    <t>QUAL-10</t>
  </si>
  <si>
    <t>Describe environmental and disposal controls with evidence, without claiming an unheld certification.</t>
  </si>
  <si>
    <t>QUAL-11</t>
  </si>
  <si>
    <t>Identify the authority needed to sign a binding response and confirm whether this draft has it.</t>
  </si>
  <si>
    <t>ARCH-01</t>
  </si>
  <si>
    <t>Propose a segmented network for twelve sites with separate staff, guest, payment and management zones; show trust boundaries.</t>
  </si>
  <si>
    <t>Approved KB-ARCH section and actual link; external test/certificate when requested</t>
  </si>
  <si>
    <t>ARCH-02</t>
  </si>
  <si>
    <t>Explain how the design integrates with existing identity, DNS, monitoring and incident tools without assuming connectors.</t>
  </si>
  <si>
    <t>ARCH-03</t>
  </si>
  <si>
    <t>Provide a topology showing redundant uplinks, failure domains and the points that remain single points of failure.</t>
  </si>
  <si>
    <t>ARCH-04</t>
  </si>
  <si>
    <t>Describe the migration path from the bank's current VLANs and the information needed before final design.</t>
  </si>
  <si>
    <t>ARCH-05</t>
  </si>
  <si>
    <t>Explain IP address management and overlapping ranges during coexistence; identify required bank approvals.</t>
  </si>
  <si>
    <t>ARCH-06</t>
  </si>
  <si>
    <t>State the boundary between hardware supply, managed operations and the bank's own responsibilities.</t>
  </si>
  <si>
    <t>ARCH-07</t>
  </si>
  <si>
    <t>Describe integration authentication, secret storage and rotation; provide evidence for any claimed automation.</t>
  </si>
  <si>
    <t>ARCH-08</t>
  </si>
  <si>
    <t>Explain how configuration export avoids vendor lock-in and what cannot be exported.</t>
  </si>
  <si>
    <t>ARCH-09</t>
  </si>
  <si>
    <t>Provide capacity assumptions for 400 endpoints per site and identify the measurements required to validate them.</t>
  </si>
  <si>
    <t>ARCH-10</t>
  </si>
  <si>
    <t>Describe a lab validation plan including identity outage and upstream network failure.</t>
  </si>
  <si>
    <t>ARCH-11</t>
  </si>
  <si>
    <t>Identify architecture decisions still requiring the bank's security and network teams.</t>
  </si>
  <si>
    <t>NET-01</t>
  </si>
  <si>
    <t>Confirm 10G uplinks on every offered access switch; reconcile the requested CMS-48P-POE with documented uplink capability.</t>
  </si>
  <si>
    <t>Approved KB-NET section and actual link; external test/certificate when requested</t>
  </si>
  <si>
    <t>NET-02</t>
  </si>
  <si>
    <t>Demonstrate the PoE power budget for 32 access points per site at 30 W each and explain any required extra switches.</t>
  </si>
  <si>
    <t>Watts, headroom and design exception</t>
  </si>
  <si>
    <t>NET-03</t>
  </si>
  <si>
    <t>Specify optical modules, cable types, distances and compatibility evidence for each uplink.</t>
  </si>
  <si>
    <t>NET-04</t>
  </si>
  <si>
    <t>Explain 802.1X and fallback behavior for devices without supplicants, including payment-terminal risk.</t>
  </si>
  <si>
    <t>NET-05</t>
  </si>
  <si>
    <t>Confirm whether Wi-Fi 7 and legacy clients can coexist; identify survey and regulatory prerequisites.</t>
  </si>
  <si>
    <t>NET-06</t>
  </si>
  <si>
    <t>Provide roaming latency evidence for voice clients, not just a marketing capability statement.</t>
  </si>
  <si>
    <t>NET-07</t>
  </si>
  <si>
    <t>Explain guest isolation and how guest traffic is prevented from reaching payment systems.</t>
  </si>
  <si>
    <t>NET-08</t>
  </si>
  <si>
    <t>State throughput with security inspection enabled and supply independently measured results.</t>
  </si>
  <si>
    <t>NET-09</t>
  </si>
  <si>
    <t>Describe multicast and QoS configuration for voice/video, including validation under congestion.</t>
  </si>
  <si>
    <t>NET-10</t>
  </si>
  <si>
    <t>Confirm rack, power and cooling requirements and list site-survey gaps.</t>
  </si>
  <si>
    <t>NET-11</t>
  </si>
  <si>
    <t>Describe tested configuration backup and restore including firmware-version compatibility.</t>
  </si>
  <si>
    <t>SEC-01</t>
  </si>
  <si>
    <t>Does the management console support SAML 2.0 SSO and bank-controlled MFA? State the supported boundary.</t>
  </si>
  <si>
    <t>Yes/No/Partial + scope</t>
  </si>
  <si>
    <t>Approved KB-SEC section and actual link; external test/certificate when requested</t>
  </si>
  <si>
    <t>SEC-02</t>
  </si>
  <si>
    <t>If SSO is supported, prove SCIM deprovisioning within five minutes, including a measured test.</t>
  </si>
  <si>
    <t>Yes/No/Partial + measured minutes</t>
  </si>
  <si>
    <t>If SSO is supported</t>
  </si>
  <si>
    <t>SEC-03</t>
  </si>
  <si>
    <t>Describe least-privilege roles and segregation between bank operators and supplier administrators.</t>
  </si>
  <si>
    <t>SEC-04</t>
  </si>
  <si>
    <t>State encryption protocols and key ownership for management traffic and stored configuration.</t>
  </si>
  <si>
    <t>SEC-05</t>
  </si>
  <si>
    <t>Provide independent penetration-test evidence no older than twelve months and remediation status.</t>
  </si>
  <si>
    <t>SEC-06</t>
  </si>
  <si>
    <t>Explain critical vulnerability handling with a 48-hour mitigation requirement and escalation.</t>
  </si>
  <si>
    <t>SEC-07</t>
  </si>
  <si>
    <t>Show immutable audit retention for 365 days, export options and evidence of tamper resistance.</t>
  </si>
  <si>
    <t>SEC-08</t>
  </si>
  <si>
    <t>Describe emergency administrator access, dual control and the audit trail.</t>
  </si>
  <si>
    <t>SEC-09</t>
  </si>
  <si>
    <t>Explain secure firmware provenance, update verification and rollback constraints.</t>
  </si>
  <si>
    <t>SEC-10</t>
  </si>
  <si>
    <t>State whether a software bill of materials is supplied for each firmware release and provide one.</t>
  </si>
  <si>
    <t>SEC-11</t>
  </si>
  <si>
    <t>Identify residual security risks that require bank acceptance before production.</t>
  </si>
  <si>
    <t>DATA-01</t>
  </si>
  <si>
    <t>Can all management telemetry and backups remain exclusively in the EU with no non-EU administrator access?</t>
  </si>
  <si>
    <t>Yes/No/Partial + locations</t>
  </si>
  <si>
    <t>Approved KB-DATA section and actual link; external test/certificate when requested</t>
  </si>
  <si>
    <t>DATA-02</t>
  </si>
  <si>
    <t>If any non-EU processing is required, identify countries, subprocessors, transfer safeguards and missing approvals.</t>
  </si>
  <si>
    <t>If processing is not exclusively EU</t>
  </si>
  <si>
    <t>DATA-03</t>
  </si>
  <si>
    <t>List personal data categories, purposes and legal roles separately for telemetry and support.</t>
  </si>
  <si>
    <t>DATA-04</t>
  </si>
  <si>
    <t>Provide the signed data processing agreement for this bank, not an unsigned template.</t>
  </si>
  <si>
    <t>DATA-05</t>
  </si>
  <si>
    <t>State retention periods by data type and explain how deletion is evidenced.</t>
  </si>
  <si>
    <t>DATA-06</t>
  </si>
  <si>
    <t>Describe subject-access and deletion support, response times and bank responsibilities.</t>
  </si>
  <si>
    <t>DATA-07</t>
  </si>
  <si>
    <t>Confirm whether production data is used for analytics or AI training and cite an approved policy.</t>
  </si>
  <si>
    <t>DATA-08</t>
  </si>
  <si>
    <t>Explain minimization and masking in support bundles before external access.</t>
  </si>
  <si>
    <t>DATA-09</t>
  </si>
  <si>
    <t>Describe how privacy incidents are reported within the bank's required twelve-hour window.</t>
  </si>
  <si>
    <t>DATA-10</t>
  </si>
  <si>
    <t>Provide a data flow diagram with processing locations and a current subprocessor register.</t>
  </si>
  <si>
    <t>DATA-11</t>
  </si>
  <si>
    <t>Describe exit deletion including replicas, backups and the certification of completion.</t>
  </si>
  <si>
    <t>EVID-01</t>
  </si>
  <si>
    <t>Is the complete proposed service currently ISO 27001 certified? Provide evidence, not self-assessment.</t>
  </si>
  <si>
    <t>Yes/No/Unverified + evidence</t>
  </si>
  <si>
    <t>Approved KB-EVID section and actual link; external test/certificate when requested</t>
  </si>
  <si>
    <t>EVID-02</t>
  </si>
  <si>
    <t>If certified, supply certificate issuer, scope, number and expiry and map all exclusions to this service.</t>
  </si>
  <si>
    <t>Issuer, scope, number, expiry or unresolved dependency</t>
  </si>
  <si>
    <t>If certification is confirmed; unknown parent remains unresolved</t>
  </si>
  <si>
    <t>EVID-03</t>
  </si>
  <si>
    <t>Provide a current SOC 2 Type II report and identify its observation period and service coverage.</t>
  </si>
  <si>
    <t>EVID-04</t>
  </si>
  <si>
    <t>Map proposed payment-network controls to the bank's PCI requirements without claiming certification.</t>
  </si>
  <si>
    <t>EVID-05</t>
  </si>
  <si>
    <t>Provide independent evidence for claimed redundancy and failover times.</t>
  </si>
  <si>
    <t>EVID-06</t>
  </si>
  <si>
    <t>Supply the most recent disaster-recovery test record and list unresolved findings.</t>
  </si>
  <si>
    <t>EVID-07</t>
  </si>
  <si>
    <t>Show document ownership, approval date and version for every response-library source.</t>
  </si>
  <si>
    <t>EVID-08</t>
  </si>
  <si>
    <t>Explain how superseded documents are detected and excluded from current commitments.</t>
  </si>
  <si>
    <t>EVID-09</t>
  </si>
  <si>
    <t>List missing mandatory evidence and the accountable review function, without fabricated attachments.</t>
  </si>
  <si>
    <t>EVID-10</t>
  </si>
  <si>
    <t>Confirm the bank's right to inspect evidence under NDA and identify redacted items.</t>
  </si>
  <si>
    <t>EVID-11</t>
  </si>
  <si>
    <t>Provide a traceability register linking each requirement to an actual section and cloud file.</t>
  </si>
  <si>
    <t>OPS-01</t>
  </si>
  <si>
    <t>Commit to 99.95% 24/7 availability; reconcile any different SLA versions in the knowledge base.</t>
  </si>
  <si>
    <t>Approved KB-OPS section and actual link; external test/certificate when requested</t>
  </si>
  <si>
    <t>OPS-02</t>
  </si>
  <si>
    <t>Explain the availability denominator, maintenance exclusions and maximum service credits under the current SLA.</t>
  </si>
  <si>
    <t>OPS-03</t>
  </si>
  <si>
    <t>Describe monitoring coverage, alert ownership and the limits of the proposed managed service.</t>
  </si>
  <si>
    <t>OPS-04</t>
  </si>
  <si>
    <t>Define severity levels and response versus resolution targets; do not conflate the two.</t>
  </si>
  <si>
    <t>OPS-05</t>
  </si>
  <si>
    <t>Provide an escalation matrix for out-of-hours outages and state uncovered periods.</t>
  </si>
  <si>
    <t>OPS-06</t>
  </si>
  <si>
    <t>Describe change windows, bank sign-off and rollback ownership.</t>
  </si>
  <si>
    <t>OPS-07</t>
  </si>
  <si>
    <t>State patch cadence and emergency-change handling with evidence.</t>
  </si>
  <si>
    <t>OPS-08</t>
  </si>
  <si>
    <t>Specify operational dashboards, report frequency and which inputs the bank must provide.</t>
  </si>
  <si>
    <t>OPS-09</t>
  </si>
  <si>
    <t>Describe configuration drift detection and the approval needed to remediate it.</t>
  </si>
  <si>
    <t>OPS-10</t>
  </si>
  <si>
    <t>Explain how major incidents produce root-cause reports and corrective actions.</t>
  </si>
  <si>
    <t>OPS-11</t>
  </si>
  <si>
    <t>State service transition criteria before the supplier takes operational responsibility.</t>
  </si>
  <si>
    <t>SUPPORT-01</t>
  </si>
  <si>
    <t>Can three-year next-business-day hardware care support the entire five-year term? Identify the renewal evidence gap.</t>
  </si>
  <si>
    <t>Approved KB-SUPPORT section and actual link; external test/certificate when requested</t>
  </si>
  <si>
    <t>SUPPORT-02</t>
  </si>
  <si>
    <t>Define business-day cutoffs, replacement logistics and geographic exclusions without promising four-hour replacement.</t>
  </si>
  <si>
    <t>SUPPORT-03</t>
  </si>
  <si>
    <t>State support channels, languages and covered hours.</t>
  </si>
  <si>
    <t>SUPPORT-04</t>
  </si>
  <si>
    <t>Describe responsibility for diagnosis versus hardware replacement.</t>
  </si>
  <si>
    <t>SUPPORT-05</t>
  </si>
  <si>
    <t>Provide recovery-time and recovery-point objectives with supporting test evidence.</t>
  </si>
  <si>
    <t>SUPPORT-06</t>
  </si>
  <si>
    <t>Explain resilience when the supplier's own service desk is unavailable.</t>
  </si>
  <si>
    <t>SUPPORT-07</t>
  </si>
  <si>
    <t>Specify on-site spare holdings and who pays for unused or obsolete stock.</t>
  </si>
  <si>
    <t>SUPPORT-08</t>
  </si>
  <si>
    <t>Describe end-user communications during an incident without assuming external-send permission.</t>
  </si>
  <si>
    <t>SUPPORT-09</t>
  </si>
  <si>
    <t>Explain defect triage across hardware, firmware, identity and upstream networks.</t>
  </si>
  <si>
    <t>SUPPORT-10</t>
  </si>
  <si>
    <t>Provide a verified continuity-test schedule and identify missing records.</t>
  </si>
  <si>
    <t>SUPPORT-11</t>
  </si>
  <si>
    <t>Describe handover to a replacement supplier at contract end.</t>
  </si>
  <si>
    <t>IMPL-01</t>
  </si>
  <si>
    <t>Deliver twelve sites within six weeks; provide a gated plan and conditions rather than an unsupported date promise.</t>
  </si>
  <si>
    <t>Approved KB-IMPL section and actual link; external test/certificate when requested</t>
  </si>
  <si>
    <t>IMPL-02</t>
  </si>
  <si>
    <t>Define objective acceptance tests for segmentation, failover and throughput and who signs the results.</t>
  </si>
  <si>
    <t>IMPL-03</t>
  </si>
  <si>
    <t>Specify the pilot site, go/no-go criteria and what happens after pilot failure.</t>
  </si>
  <si>
    <t>IMPL-04</t>
  </si>
  <si>
    <t>List bank dependencies including access, cabling, power and identity configuration.</t>
  </si>
  <si>
    <t>IMPL-05</t>
  </si>
  <si>
    <t>Provide training scope and evidence of operator readiness.</t>
  </si>
  <si>
    <t>IMPL-06</t>
  </si>
  <si>
    <t>Describe the cutover window, outage notice and tested rollback plan.</t>
  </si>
  <si>
    <t>IMPL-07</t>
  </si>
  <si>
    <t>Show project governance, decision rights and change control.</t>
  </si>
  <si>
    <t>IMPL-08</t>
  </si>
  <si>
    <t>Define configuration documentation and asset-register handover deliverables.</t>
  </si>
  <si>
    <t>IMPL-09</t>
  </si>
  <si>
    <t>Describe the method for validating RF coverage before and after installation.</t>
  </si>
  <si>
    <t>IMPL-10</t>
  </si>
  <si>
    <t>Estimate on-site effort and separate included work from additional day rates.</t>
  </si>
  <si>
    <t>IMPL-11</t>
  </si>
  <si>
    <t>State commercial consequences of bank-caused delays without automatically accepting penalties.</t>
  </si>
  <si>
    <t>SUPPLY-01</t>
  </si>
  <si>
    <t>The bill of materials requests 48 CAP-6E devices; verify lifecycle and propose CAP-7 only as a disclosed alternative.</t>
  </si>
  <si>
    <t>Approved KB-SUPPLY section and actual link; external test/certificate when requested</t>
  </si>
  <si>
    <t>SUPPLY-02</t>
  </si>
  <si>
    <t>If available stock is insufficient, show dated allocation and delivery options without reserving or guaranteeing them.</t>
  </si>
  <si>
    <t>If the requested or proposed line has insufficient stock</t>
  </si>
  <si>
    <t>SUPPLY-03</t>
  </si>
  <si>
    <t>For each line show on-hand, reserved and available quantities and distinguish a plan from a commitment.</t>
  </si>
  <si>
    <t>SUPPLY-04</t>
  </si>
  <si>
    <t>Identify which alternatives need technical or bank approval and quantify price differences from live previews.</t>
  </si>
  <si>
    <t>SUPPLY-05</t>
  </si>
  <si>
    <t>Explain split shipments and their impact on site sequencing and costs.</t>
  </si>
  <si>
    <t>SUPPLY-06</t>
  </si>
  <si>
    <t>Provide lifecycle dates only where currently evidenced; do not turn an unknown date into a five-year warranty.</t>
  </si>
  <si>
    <t>SUPPLY-07</t>
  </si>
  <si>
    <t>State incoterms, delivery locations and who bears transit risk.</t>
  </si>
  <si>
    <t>SUPPLY-08</t>
  </si>
  <si>
    <t>Describe counterfeit prevention and serial-number traceability with actual evidence.</t>
  </si>
  <si>
    <t>SUPPLY-09</t>
  </si>
  <si>
    <t>Show dependencies between optics, switches, gateways and care subscriptions before promising completeness.</t>
  </si>
  <si>
    <t>SUPPLY-10</t>
  </si>
  <si>
    <t>Describe cancellation and substitution rules for delayed items.</t>
  </si>
  <si>
    <t>SUPPLY-11</t>
  </si>
  <si>
    <t>Explain replenishment and replacement sourcing after product end of life.</t>
  </si>
  <si>
    <t>LEGAL-01</t>
  </si>
  <si>
    <t>Accept unlimited liability, including indirect loss, or explicitly record a contractual exception.</t>
  </si>
  <si>
    <t>Accept/Exception + reason</t>
  </si>
  <si>
    <t>Approved KB-LEGAL section and actual link; external test/certificate when requested</t>
  </si>
  <si>
    <t>LEGAL-02</t>
  </si>
  <si>
    <t>If unlimited liability is not accepted, propose the approved counterposition and identify legal review requirements.</t>
  </si>
  <si>
    <t>If unlimited liability is not accepted</t>
  </si>
  <si>
    <t>LEGAL-03</t>
  </si>
  <si>
    <t>State the governing law, jurisdiction and which differences from bank terms remain unresolved.</t>
  </si>
  <si>
    <t>LEGAL-04</t>
  </si>
  <si>
    <t>Explain ownership of configurations, documentation and pre-existing intellectual property.</t>
  </si>
  <si>
    <t>LEGAL-05</t>
  </si>
  <si>
    <t>Describe termination assistance, duration and charges without assuming free unlimited transition.</t>
  </si>
  <si>
    <t>LEGAL-06</t>
  </si>
  <si>
    <t>Specify price-adjustment rights and whether any annual indexation has been agreed.</t>
  </si>
  <si>
    <t>LEGAL-07</t>
  </si>
  <si>
    <t>Provide audit rights and restrictions for third-party supplier facilities.</t>
  </si>
  <si>
    <t>LEGAL-08</t>
  </si>
  <si>
    <t>State warranty scope, remedies and exclusions using approved evidence rather than hidden API fields.</t>
  </si>
  <si>
    <t>LEGAL-09</t>
  </si>
  <si>
    <t>Describe delay penalties and limits that require commercial review.</t>
  </si>
  <si>
    <t>LEGAL-10</t>
  </si>
  <si>
    <t>Explain confidentiality and permitted use of bank information during bidding.</t>
  </si>
  <si>
    <t>LEGAL-11</t>
  </si>
  <si>
    <t>State explicitly that this draft does not constitute signature, contract acceptance or order creation.</t>
  </si>
  <si>
    <t>COMM-01</t>
  </si>
  <si>
    <t>Provide a five-year TCO in the customer's verified currency, separating hardware, implementation, operations and care renewals.</t>
  </si>
  <si>
    <t>Amount/currency or INCOMPLETE; pricing-sheet references</t>
  </si>
  <si>
    <t>Approved KB-COMM section and actual link; external test/certificate when requested</t>
  </si>
  <si>
    <t>COMM-02</t>
  </si>
  <si>
    <t>State years four and five renewal assumptions and mark TCO incomplete where no approved renewal price exists.</t>
  </si>
  <si>
    <t>COMM-03</t>
  </si>
  <si>
    <t>Show customer-specific unit net prices, quantities, discounts and source timestamps from the unsaved Atlas preview.</t>
  </si>
  <si>
    <t>COMM-04</t>
  </si>
  <si>
    <t>Reconcile line rounding, subtotal, tax and total against the preview, not an EUR list-price conversion.</t>
  </si>
  <si>
    <t>Reconciliation by line; amount/currency</t>
  </si>
  <si>
    <t>COMM-05</t>
  </si>
  <si>
    <t>Separate one-time, monthly and annual costs and state the unit and period of each rate.</t>
  </si>
  <si>
    <t>COMM-06</t>
  </si>
  <si>
    <t>Provide optional and mandatory costs separately without silently removing mandatory items from the total.</t>
  </si>
  <si>
    <t>COMM-07</t>
  </si>
  <si>
    <t>Explain payment terms, credit warnings and financing dependencies observed on the actual account.</t>
  </si>
  <si>
    <t>COMM-08</t>
  </si>
  <si>
    <t>State any price validity period as a draft assumption unless explicitly supported by current evidence.</t>
  </si>
  <si>
    <t>COMM-09</t>
  </si>
  <si>
    <t>Show how a switch or access-point substitution changes TCO without inventing a price.</t>
  </si>
  <si>
    <t>COMM-10</t>
  </si>
  <si>
    <t>Identify internal approval needs separately; do not expose supplier costs, margin or approval mechanics to the customer.</t>
  </si>
  <si>
    <t>COMM-11</t>
  </si>
  <si>
    <t>Provide an open-cost register so missing shipping, tax or renewal values cannot appear as confirmed zero.</t>
  </si>
  <si>
    <t>Assumption</t>
  </si>
  <si>
    <t>Source</t>
  </si>
  <si>
    <t>Years</t>
  </si>
  <si>
    <t>Buyer RFI / COMM-01</t>
  </si>
  <si>
    <t>Months per year</t>
  </si>
  <si>
    <t>KB-COMM v2 / section 2</t>
  </si>
  <si>
    <t>Required reporting currency</t>
  </si>
  <si>
    <t>USD</t>
  </si>
  <si>
    <t>Buyer RFI; verify live account currency. Do not invent FX.</t>
  </si>
  <si>
    <t>Sites</t>
  </si>
  <si>
    <t>Buyer RFI / IMPL-01</t>
  </si>
  <si>
    <t>Monthly rate per site (USD)</t>
  </si>
  <si>
    <t>Currency rule</t>
  </si>
  <si>
    <t>No FX rate approved. Any mismatch stays open.</t>
  </si>
  <si>
    <t>KB-COMM v2 / section 3</t>
  </si>
  <si>
    <t>SKU / cost</t>
  </si>
  <si>
    <t>Qty</t>
  </si>
  <si>
    <t>Unit net</t>
  </si>
  <si>
    <t>Currency</t>
  </si>
  <si>
    <t>Years / events</t>
  </si>
  <si>
    <t>Basis</t>
  </si>
  <si>
    <t>Net (currency in D)</t>
  </si>
  <si>
    <t>Source / timestamp</t>
  </si>
  <si>
    <t>Tax rate</t>
  </si>
  <si>
    <t>Tax</t>
  </si>
  <si>
    <t>Gross</t>
  </si>
  <si>
    <t>CMS-48P-POE</t>
  </si>
  <si>
    <t>One-time</t>
  </si>
  <si>
    <t>CAP-6E</t>
  </si>
  <si>
    <t>CSFP-10G</t>
  </si>
  <si>
    <t>CGW-500</t>
  </si>
  <si>
    <t>CARE-NET-3Y-NBD</t>
  </si>
  <si>
    <t>SVC-NET-ASSESS</t>
  </si>
  <si>
    <t>SVC-ONSITE-DAY</t>
  </si>
  <si>
    <t>KB-managed-service</t>
  </si>
  <si>
    <t>Monthly</t>
  </si>
  <si>
    <t>KB-COMM v2 / section 2; tax unconfirmed</t>
  </si>
  <si>
    <t>Care renewal years 4-5</t>
  </si>
  <si>
    <t>Annual</t>
  </si>
  <si>
    <t>Freight</t>
  </si>
  <si>
    <t>Measure</t>
  </si>
  <si>
    <t>Interpretation</t>
  </si>
  <si>
    <t>Reporting currency</t>
  </si>
  <si>
    <t>USD is a buyer requirement, not a claim about live Atlas.</t>
  </si>
  <si>
    <t>Known net subtotal</t>
  </si>
  <si>
    <t>PARTIAL: only populated amounts in reporting currency; never call this complete TCO.</t>
  </si>
  <si>
    <t>Complete required net TCO</t>
  </si>
  <si>
    <t>Blank means missing price/period/currency; renewals and freight are mandatory.</t>
  </si>
  <si>
    <t>Complete gross TCO</t>
  </si>
  <si>
    <t>Blank means incomplete taxes or other required amounts.</t>
  </si>
  <si>
    <t>Net coverage</t>
  </si>
  <si>
    <t>Keep missing costs OPEN; never replace missing values with zero.</t>
  </si>
  <si>
    <t>Gross coverage</t>
  </si>
  <si>
    <t>This model is a draft, not approval.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</si>
</sst>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;&quot;-&quot;"/>
    <numFmt numFmtId="165" formatCode="0.0%;\(0.0%\);&quot;-&quot;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sz val="10"/>
      <color rgb="FF0000FF"/>
      <name val="Arial"/>
    </font>
    <font>
      <sz val="10"/>
      <color rgb="FF008000"/>
      <name val="Arial"/>
    </font>
    <font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0B3D91"/>
      </patternFill>
    </fill>
    <fill>
      <patternFill patternType="solid">
        <fgColor rgb="FFEAF3FF"/>
      </patternFill>
    </fill>
    <fill>
      <patternFill patternType="solid">
        <fgColor rgb="FF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164" fontId="3" fillId="4" borderId="0" xfId="0" applyNumberFormat="1" applyFont="1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164" fontId="4" fillId="0" borderId="0" xfId="0" applyNumberFormat="1" applyFont="1" applyAlignment="1">
      <alignment vertical="top" wrapText="1"/>
    </xf>
    <xf numFmtId="165" fontId="3" fillId="4" borderId="0" xfId="0" applyNumberFormat="1" applyFont="1" applyFill="1" applyAlignment="1">
      <alignment vertical="top" wrapText="1"/>
    </xf>
    <xf numFmtId="164" fontId="5" fillId="0" borderId="0" xfId="0" applyNumberFormat="1" applyFont="1" applyAlignment="1">
      <alignment vertical="top" wrapText="1"/>
    </xf>
    <xf numFmtId="0" fontId="4" fillId="0" borderId="0" xfId="0" applyFont="1" applyAlignment="1">
      <alignment vertical="top" wrapText="1"/>
    </xf>
    <xf numFmtId="164" fontId="4" fillId="4" borderId="0" xfId="0" applyNumberFormat="1" applyFont="1" applyFill="1" applyAlignment="1">
      <alignment vertical="top" wrapText="1"/>
    </xf>
    <xf numFmtId="164" fontId="2" fillId="0" borderId="0" xfId="0" applyNumberFormat="1" applyFont="1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uestions_QUAL" displayName="Questions_QUAL" ref="A1:R12">
  <autoFilter ref="A1:R12" xr:uid="{00000000-0009-0000-0100-000001000000}"/>
  <tableColumns count="18">
    <tableColumn id="1" xr3:uid="{00000000-0010-0000-0000-000001000000}" name="ID"/>
    <tableColumn id="2" xr3:uid="{00000000-0010-0000-0000-000002000000}" name="Parent"/>
    <tableColumn id="3" xr3:uid="{00000000-0010-0000-0000-000003000000}" name="Priority"/>
    <tableColumn id="4" xr3:uid="{00000000-0010-0000-0000-000004000000}" name="Requirement"/>
    <tableColumn id="5" xr3:uid="{00000000-0010-0000-0000-000005000000}" name="Format"/>
    <tableColumn id="6" xr3:uid="{00000000-0010-0000-0000-000006000000}" name="Max characters"/>
    <tableColumn id="7" xr3:uid="{00000000-0010-0000-0000-000007000000}" name="Applies when"/>
    <tableColumn id="8" xr3:uid="{00000000-0010-0000-0000-000008000000}" name="Evidence required"/>
    <tableColumn id="9" xr3:uid="{00000000-0010-0000-0000-000009000000}" name="Answer"/>
    <tableColumn id="10" xr3:uid="{00000000-0010-0000-0000-00000A000000}" name="Status"/>
    <tableColumn id="11" xr3:uid="{00000000-0010-0000-0000-00000B000000}" name="Source ID"/>
    <tableColumn id="12" xr3:uid="{00000000-0010-0000-0000-00000C000000}" name="Version"/>
    <tableColumn id="13" xr3:uid="{00000000-0010-0000-0000-00000D000000}" name="Section"/>
    <tableColumn id="14" xr3:uid="{00000000-0010-0000-0000-00000E000000}" name="Cloud link"/>
    <tableColumn id="15" xr3:uid="{00000000-0010-0000-0000-00000F000000}" name="Open point"/>
    <tableColumn id="16" xr3:uid="{00000000-0010-0000-0000-000010000000}" name="Review"/>
    <tableColumn id="17" xr3:uid="{00000000-0010-0000-0000-000011000000}" name="Characters"/>
    <tableColumn id="18" xr3:uid="{00000000-0010-0000-0000-000012000000}" name="Limit chec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estions_ARCH" displayName="Questions_ARCH" ref="A1:R12">
  <autoFilter ref="A1:R12" xr:uid="{00000000-0009-0000-0100-000002000000}"/>
  <tableColumns count="18">
    <tableColumn id="1" xr3:uid="{00000000-0010-0000-0100-000001000000}" name="ID"/>
    <tableColumn id="2" xr3:uid="{00000000-0010-0000-0100-000002000000}" name="Parent"/>
    <tableColumn id="3" xr3:uid="{00000000-0010-0000-0100-000003000000}" name="Priority"/>
    <tableColumn id="4" xr3:uid="{00000000-0010-0000-0100-000004000000}" name="Requirement"/>
    <tableColumn id="5" xr3:uid="{00000000-0010-0000-0100-000005000000}" name="Format"/>
    <tableColumn id="6" xr3:uid="{00000000-0010-0000-0100-000006000000}" name="Max characters"/>
    <tableColumn id="7" xr3:uid="{00000000-0010-0000-0100-000007000000}" name="Applies when"/>
    <tableColumn id="8" xr3:uid="{00000000-0010-0000-0100-000008000000}" name="Evidence required"/>
    <tableColumn id="9" xr3:uid="{00000000-0010-0000-0100-000009000000}" name="Answer"/>
    <tableColumn id="10" xr3:uid="{00000000-0010-0000-0100-00000A000000}" name="Status"/>
    <tableColumn id="11" xr3:uid="{00000000-0010-0000-0100-00000B000000}" name="Source ID"/>
    <tableColumn id="12" xr3:uid="{00000000-0010-0000-0100-00000C000000}" name="Version"/>
    <tableColumn id="13" xr3:uid="{00000000-0010-0000-0100-00000D000000}" name="Section"/>
    <tableColumn id="14" xr3:uid="{00000000-0010-0000-0100-00000E000000}" name="Cloud link"/>
    <tableColumn id="15" xr3:uid="{00000000-0010-0000-0100-00000F000000}" name="Open point"/>
    <tableColumn id="16" xr3:uid="{00000000-0010-0000-0100-000010000000}" name="Review"/>
    <tableColumn id="17" xr3:uid="{00000000-0010-0000-0100-000011000000}" name="Characters"/>
    <tableColumn id="18" xr3:uid="{00000000-0010-0000-0100-000012000000}" name="Limit chec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Questions_NET" displayName="Questions_NET" ref="A1:R12">
  <autoFilter ref="A1:R12" xr:uid="{00000000-0009-0000-0100-000003000000}"/>
  <tableColumns count="18">
    <tableColumn id="1" xr3:uid="{00000000-0010-0000-0200-000001000000}" name="ID"/>
    <tableColumn id="2" xr3:uid="{00000000-0010-0000-0200-000002000000}" name="Parent"/>
    <tableColumn id="3" xr3:uid="{00000000-0010-0000-0200-000003000000}" name="Priority"/>
    <tableColumn id="4" xr3:uid="{00000000-0010-0000-0200-000004000000}" name="Requirement"/>
    <tableColumn id="5" xr3:uid="{00000000-0010-0000-0200-000005000000}" name="Format"/>
    <tableColumn id="6" xr3:uid="{00000000-0010-0000-0200-000006000000}" name="Max characters"/>
    <tableColumn id="7" xr3:uid="{00000000-0010-0000-0200-000007000000}" name="Applies when"/>
    <tableColumn id="8" xr3:uid="{00000000-0010-0000-0200-000008000000}" name="Evidence required"/>
    <tableColumn id="9" xr3:uid="{00000000-0010-0000-0200-000009000000}" name="Answer"/>
    <tableColumn id="10" xr3:uid="{00000000-0010-0000-0200-00000A000000}" name="Status"/>
    <tableColumn id="11" xr3:uid="{00000000-0010-0000-0200-00000B000000}" name="Source ID"/>
    <tableColumn id="12" xr3:uid="{00000000-0010-0000-0200-00000C000000}" name="Version"/>
    <tableColumn id="13" xr3:uid="{00000000-0010-0000-0200-00000D000000}" name="Section"/>
    <tableColumn id="14" xr3:uid="{00000000-0010-0000-0200-00000E000000}" name="Cloud link"/>
    <tableColumn id="15" xr3:uid="{00000000-0010-0000-0200-00000F000000}" name="Open point"/>
    <tableColumn id="16" xr3:uid="{00000000-0010-0000-0200-000010000000}" name="Review"/>
    <tableColumn id="17" xr3:uid="{00000000-0010-0000-0200-000011000000}" name="Characters"/>
    <tableColumn id="18" xr3:uid="{00000000-0010-0000-0200-000012000000}" name="Limit check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Questions_SEC" displayName="Questions_SEC" ref="A1:R12">
  <autoFilter ref="A1:R12" xr:uid="{00000000-0009-0000-0100-000004000000}"/>
  <tableColumns count="18">
    <tableColumn id="1" xr3:uid="{00000000-0010-0000-0300-000001000000}" name="ID"/>
    <tableColumn id="2" xr3:uid="{00000000-0010-0000-0300-000002000000}" name="Parent"/>
    <tableColumn id="3" xr3:uid="{00000000-0010-0000-0300-000003000000}" name="Priority"/>
    <tableColumn id="4" xr3:uid="{00000000-0010-0000-0300-000004000000}" name="Requirement"/>
    <tableColumn id="5" xr3:uid="{00000000-0010-0000-0300-000005000000}" name="Format"/>
    <tableColumn id="6" xr3:uid="{00000000-0010-0000-0300-000006000000}" name="Max characters"/>
    <tableColumn id="7" xr3:uid="{00000000-0010-0000-0300-000007000000}" name="Applies when"/>
    <tableColumn id="8" xr3:uid="{00000000-0010-0000-0300-000008000000}" name="Evidence required"/>
    <tableColumn id="9" xr3:uid="{00000000-0010-0000-0300-000009000000}" name="Answer"/>
    <tableColumn id="10" xr3:uid="{00000000-0010-0000-0300-00000A000000}" name="Status"/>
    <tableColumn id="11" xr3:uid="{00000000-0010-0000-0300-00000B000000}" name="Source ID"/>
    <tableColumn id="12" xr3:uid="{00000000-0010-0000-0300-00000C000000}" name="Version"/>
    <tableColumn id="13" xr3:uid="{00000000-0010-0000-0300-00000D000000}" name="Section"/>
    <tableColumn id="14" xr3:uid="{00000000-0010-0000-0300-00000E000000}" name="Cloud link"/>
    <tableColumn id="15" xr3:uid="{00000000-0010-0000-0300-00000F000000}" name="Open point"/>
    <tableColumn id="16" xr3:uid="{00000000-0010-0000-0300-000010000000}" name="Review"/>
    <tableColumn id="17" xr3:uid="{00000000-0010-0000-0300-000011000000}" name="Characters"/>
    <tableColumn id="18" xr3:uid="{00000000-0010-0000-0300-000012000000}" name="Limit check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Questions_DATA" displayName="Questions_DATA" ref="A1:R12">
  <autoFilter ref="A1:R12" xr:uid="{00000000-0009-0000-0100-000005000000}"/>
  <tableColumns count="18">
    <tableColumn id="1" xr3:uid="{00000000-0010-0000-0400-000001000000}" name="ID"/>
    <tableColumn id="2" xr3:uid="{00000000-0010-0000-0400-000002000000}" name="Parent"/>
    <tableColumn id="3" xr3:uid="{00000000-0010-0000-0400-000003000000}" name="Priority"/>
    <tableColumn id="4" xr3:uid="{00000000-0010-0000-0400-000004000000}" name="Requirement"/>
    <tableColumn id="5" xr3:uid="{00000000-0010-0000-0400-000005000000}" name="Format"/>
    <tableColumn id="6" xr3:uid="{00000000-0010-0000-0400-000006000000}" name="Max characters"/>
    <tableColumn id="7" xr3:uid="{00000000-0010-0000-0400-000007000000}" name="Applies when"/>
    <tableColumn id="8" xr3:uid="{00000000-0010-0000-0400-000008000000}" name="Evidence required"/>
    <tableColumn id="9" xr3:uid="{00000000-0010-0000-0400-000009000000}" name="Answer"/>
    <tableColumn id="10" xr3:uid="{00000000-0010-0000-0400-00000A000000}" name="Status"/>
    <tableColumn id="11" xr3:uid="{00000000-0010-0000-0400-00000B000000}" name="Source ID"/>
    <tableColumn id="12" xr3:uid="{00000000-0010-0000-0400-00000C000000}" name="Version"/>
    <tableColumn id="13" xr3:uid="{00000000-0010-0000-0400-00000D000000}" name="Section"/>
    <tableColumn id="14" xr3:uid="{00000000-0010-0000-0400-00000E000000}" name="Cloud link"/>
    <tableColumn id="15" xr3:uid="{00000000-0010-0000-0400-00000F000000}" name="Open point"/>
    <tableColumn id="16" xr3:uid="{00000000-0010-0000-0400-000010000000}" name="Review"/>
    <tableColumn id="17" xr3:uid="{00000000-0010-0000-0400-000011000000}" name="Characters"/>
    <tableColumn id="18" xr3:uid="{00000000-0010-0000-0400-000012000000}" name="Limit check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Questions_EVID" displayName="Questions_EVID" ref="A1:R12">
  <autoFilter ref="A1:R12" xr:uid="{00000000-0009-0000-0100-000006000000}"/>
  <tableColumns count="18">
    <tableColumn id="1" xr3:uid="{00000000-0010-0000-0500-000001000000}" name="ID"/>
    <tableColumn id="2" xr3:uid="{00000000-0010-0000-0500-000002000000}" name="Parent"/>
    <tableColumn id="3" xr3:uid="{00000000-0010-0000-0500-000003000000}" name="Priority"/>
    <tableColumn id="4" xr3:uid="{00000000-0010-0000-0500-000004000000}" name="Requirement"/>
    <tableColumn id="5" xr3:uid="{00000000-0010-0000-0500-000005000000}" name="Format"/>
    <tableColumn id="6" xr3:uid="{00000000-0010-0000-0500-000006000000}" name="Max characters"/>
    <tableColumn id="7" xr3:uid="{00000000-0010-0000-0500-000007000000}" name="Applies when"/>
    <tableColumn id="8" xr3:uid="{00000000-0010-0000-0500-000008000000}" name="Evidence required"/>
    <tableColumn id="9" xr3:uid="{00000000-0010-0000-0500-000009000000}" name="Answer"/>
    <tableColumn id="10" xr3:uid="{00000000-0010-0000-0500-00000A000000}" name="Status"/>
    <tableColumn id="11" xr3:uid="{00000000-0010-0000-0500-00000B000000}" name="Source ID"/>
    <tableColumn id="12" xr3:uid="{00000000-0010-0000-0500-00000C000000}" name="Version"/>
    <tableColumn id="13" xr3:uid="{00000000-0010-0000-0500-00000D000000}" name="Section"/>
    <tableColumn id="14" xr3:uid="{00000000-0010-0000-0500-00000E000000}" name="Cloud link"/>
    <tableColumn id="15" xr3:uid="{00000000-0010-0000-0500-00000F000000}" name="Open point"/>
    <tableColumn id="16" xr3:uid="{00000000-0010-0000-0500-000010000000}" name="Review"/>
    <tableColumn id="17" xr3:uid="{00000000-0010-0000-0500-000011000000}" name="Characters"/>
    <tableColumn id="18" xr3:uid="{00000000-0010-0000-0500-000012000000}" name="Limit check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Questions_OPS" displayName="Questions_OPS" ref="A1:R12">
  <autoFilter ref="A1:R12" xr:uid="{00000000-0009-0000-0100-000007000000}"/>
  <tableColumns count="18">
    <tableColumn id="1" xr3:uid="{00000000-0010-0000-0600-000001000000}" name="ID"/>
    <tableColumn id="2" xr3:uid="{00000000-0010-0000-0600-000002000000}" name="Parent"/>
    <tableColumn id="3" xr3:uid="{00000000-0010-0000-0600-000003000000}" name="Priority"/>
    <tableColumn id="4" xr3:uid="{00000000-0010-0000-0600-000004000000}" name="Requirement"/>
    <tableColumn id="5" xr3:uid="{00000000-0010-0000-0600-000005000000}" name="Format"/>
    <tableColumn id="6" xr3:uid="{00000000-0010-0000-0600-000006000000}" name="Max characters"/>
    <tableColumn id="7" xr3:uid="{00000000-0010-0000-0600-000007000000}" name="Applies when"/>
    <tableColumn id="8" xr3:uid="{00000000-0010-0000-0600-000008000000}" name="Evidence required"/>
    <tableColumn id="9" xr3:uid="{00000000-0010-0000-0600-000009000000}" name="Answer"/>
    <tableColumn id="10" xr3:uid="{00000000-0010-0000-0600-00000A000000}" name="Status"/>
    <tableColumn id="11" xr3:uid="{00000000-0010-0000-0600-00000B000000}" name="Source ID"/>
    <tableColumn id="12" xr3:uid="{00000000-0010-0000-0600-00000C000000}" name="Version"/>
    <tableColumn id="13" xr3:uid="{00000000-0010-0000-0600-00000D000000}" name="Section"/>
    <tableColumn id="14" xr3:uid="{00000000-0010-0000-0600-00000E000000}" name="Cloud link"/>
    <tableColumn id="15" xr3:uid="{00000000-0010-0000-0600-00000F000000}" name="Open point"/>
    <tableColumn id="16" xr3:uid="{00000000-0010-0000-0600-000010000000}" name="Review"/>
    <tableColumn id="17" xr3:uid="{00000000-0010-0000-0600-000011000000}" name="Characters"/>
    <tableColumn id="18" xr3:uid="{00000000-0010-0000-0600-000012000000}" name="Limit check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Questions_SUPPORT" displayName="Questions_SUPPORT" ref="A1:R12">
  <autoFilter ref="A1:R12" xr:uid="{00000000-0009-0000-0100-000008000000}"/>
  <tableColumns count="18">
    <tableColumn id="1" xr3:uid="{00000000-0010-0000-0700-000001000000}" name="ID"/>
    <tableColumn id="2" xr3:uid="{00000000-0010-0000-0700-000002000000}" name="Parent"/>
    <tableColumn id="3" xr3:uid="{00000000-0010-0000-0700-000003000000}" name="Priority"/>
    <tableColumn id="4" xr3:uid="{00000000-0010-0000-0700-000004000000}" name="Requirement"/>
    <tableColumn id="5" xr3:uid="{00000000-0010-0000-0700-000005000000}" name="Format"/>
    <tableColumn id="6" xr3:uid="{00000000-0010-0000-0700-000006000000}" name="Max characters"/>
    <tableColumn id="7" xr3:uid="{00000000-0010-0000-0700-000007000000}" name="Applies when"/>
    <tableColumn id="8" xr3:uid="{00000000-0010-0000-0700-000008000000}" name="Evidence required"/>
    <tableColumn id="9" xr3:uid="{00000000-0010-0000-0700-000009000000}" name="Answer"/>
    <tableColumn id="10" xr3:uid="{00000000-0010-0000-0700-00000A000000}" name="Status"/>
    <tableColumn id="11" xr3:uid="{00000000-0010-0000-0700-00000B000000}" name="Source ID"/>
    <tableColumn id="12" xr3:uid="{00000000-0010-0000-0700-00000C000000}" name="Version"/>
    <tableColumn id="13" xr3:uid="{00000000-0010-0000-0700-00000D000000}" name="Section"/>
    <tableColumn id="14" xr3:uid="{00000000-0010-0000-0700-00000E000000}" name="Cloud link"/>
    <tableColumn id="15" xr3:uid="{00000000-0010-0000-0700-00000F000000}" name="Open point"/>
    <tableColumn id="16" xr3:uid="{00000000-0010-0000-0700-000010000000}" name="Review"/>
    <tableColumn id="17" xr3:uid="{00000000-0010-0000-0700-000011000000}" name="Characters"/>
    <tableColumn id="18" xr3:uid="{00000000-0010-0000-0700-000012000000}" name="Limit check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Questions_IMPL" displayName="Questions_IMPL" ref="A1:R12">
  <autoFilter ref="A1:R12" xr:uid="{00000000-0009-0000-0100-000009000000}"/>
  <tableColumns count="18">
    <tableColumn id="1" xr3:uid="{00000000-0010-0000-0800-000001000000}" name="ID"/>
    <tableColumn id="2" xr3:uid="{00000000-0010-0000-0800-000002000000}" name="Parent"/>
    <tableColumn id="3" xr3:uid="{00000000-0010-0000-0800-000003000000}" name="Priority"/>
    <tableColumn id="4" xr3:uid="{00000000-0010-0000-0800-000004000000}" name="Requirement"/>
    <tableColumn id="5" xr3:uid="{00000000-0010-0000-0800-000005000000}" name="Format"/>
    <tableColumn id="6" xr3:uid="{00000000-0010-0000-0800-000006000000}" name="Max characters"/>
    <tableColumn id="7" xr3:uid="{00000000-0010-0000-0800-000007000000}" name="Applies when"/>
    <tableColumn id="8" xr3:uid="{00000000-0010-0000-0800-000008000000}" name="Evidence required"/>
    <tableColumn id="9" xr3:uid="{00000000-0010-0000-0800-000009000000}" name="Answer"/>
    <tableColumn id="10" xr3:uid="{00000000-0010-0000-0800-00000A000000}" name="Status"/>
    <tableColumn id="11" xr3:uid="{00000000-0010-0000-0800-00000B000000}" name="Source ID"/>
    <tableColumn id="12" xr3:uid="{00000000-0010-0000-0800-00000C000000}" name="Version"/>
    <tableColumn id="13" xr3:uid="{00000000-0010-0000-0800-00000D000000}" name="Section"/>
    <tableColumn id="14" xr3:uid="{00000000-0010-0000-0800-00000E000000}" name="Cloud link"/>
    <tableColumn id="15" xr3:uid="{00000000-0010-0000-0800-00000F000000}" name="Open point"/>
    <tableColumn id="16" xr3:uid="{00000000-0010-0000-0800-000010000000}" name="Review"/>
    <tableColumn id="17" xr3:uid="{00000000-0010-0000-0800-000011000000}" name="Characters"/>
    <tableColumn id="18" xr3:uid="{00000000-0010-0000-0800-000012000000}" name="Limit check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Questions_SUPPLY" displayName="Questions_SUPPLY" ref="A1:R12">
  <autoFilter ref="A1:R12" xr:uid="{00000000-0009-0000-0100-00000A000000}"/>
  <tableColumns count="18">
    <tableColumn id="1" xr3:uid="{00000000-0010-0000-0900-000001000000}" name="ID"/>
    <tableColumn id="2" xr3:uid="{00000000-0010-0000-0900-000002000000}" name="Parent"/>
    <tableColumn id="3" xr3:uid="{00000000-0010-0000-0900-000003000000}" name="Priority"/>
    <tableColumn id="4" xr3:uid="{00000000-0010-0000-0900-000004000000}" name="Requirement"/>
    <tableColumn id="5" xr3:uid="{00000000-0010-0000-0900-000005000000}" name="Format"/>
    <tableColumn id="6" xr3:uid="{00000000-0010-0000-0900-000006000000}" name="Max characters"/>
    <tableColumn id="7" xr3:uid="{00000000-0010-0000-0900-000007000000}" name="Applies when"/>
    <tableColumn id="8" xr3:uid="{00000000-0010-0000-0900-000008000000}" name="Evidence required"/>
    <tableColumn id="9" xr3:uid="{00000000-0010-0000-0900-000009000000}" name="Answer"/>
    <tableColumn id="10" xr3:uid="{00000000-0010-0000-0900-00000A000000}" name="Status"/>
    <tableColumn id="11" xr3:uid="{00000000-0010-0000-0900-00000B000000}" name="Source ID"/>
    <tableColumn id="12" xr3:uid="{00000000-0010-0000-0900-00000C000000}" name="Version"/>
    <tableColumn id="13" xr3:uid="{00000000-0010-0000-0900-00000D000000}" name="Section"/>
    <tableColumn id="14" xr3:uid="{00000000-0010-0000-0900-00000E000000}" name="Cloud link"/>
    <tableColumn id="15" xr3:uid="{00000000-0010-0000-0900-00000F000000}" name="Open point"/>
    <tableColumn id="16" xr3:uid="{00000000-0010-0000-0900-000010000000}" name="Review"/>
    <tableColumn id="17" xr3:uid="{00000000-0010-0000-0900-000011000000}" name="Characters"/>
    <tableColumn id="18" xr3:uid="{00000000-0010-0000-0900-000012000000}" name="Limit check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Questions_LEGAL" displayName="Questions_LEGAL" ref="A1:R12">
  <autoFilter ref="A1:R12" xr:uid="{00000000-0009-0000-0100-00000B000000}"/>
  <tableColumns count="18">
    <tableColumn id="1" xr3:uid="{00000000-0010-0000-0A00-000001000000}" name="ID"/>
    <tableColumn id="2" xr3:uid="{00000000-0010-0000-0A00-000002000000}" name="Parent"/>
    <tableColumn id="3" xr3:uid="{00000000-0010-0000-0A00-000003000000}" name="Priority"/>
    <tableColumn id="4" xr3:uid="{00000000-0010-0000-0A00-000004000000}" name="Requirement"/>
    <tableColumn id="5" xr3:uid="{00000000-0010-0000-0A00-000005000000}" name="Format"/>
    <tableColumn id="6" xr3:uid="{00000000-0010-0000-0A00-000006000000}" name="Max characters"/>
    <tableColumn id="7" xr3:uid="{00000000-0010-0000-0A00-000007000000}" name="Applies when"/>
    <tableColumn id="8" xr3:uid="{00000000-0010-0000-0A00-000008000000}" name="Evidence required"/>
    <tableColumn id="9" xr3:uid="{00000000-0010-0000-0A00-000009000000}" name="Answer"/>
    <tableColumn id="10" xr3:uid="{00000000-0010-0000-0A00-00000A000000}" name="Status"/>
    <tableColumn id="11" xr3:uid="{00000000-0010-0000-0A00-00000B000000}" name="Source ID"/>
    <tableColumn id="12" xr3:uid="{00000000-0010-0000-0A00-00000C000000}" name="Version"/>
    <tableColumn id="13" xr3:uid="{00000000-0010-0000-0A00-00000D000000}" name="Section"/>
    <tableColumn id="14" xr3:uid="{00000000-0010-0000-0A00-00000E000000}" name="Cloud link"/>
    <tableColumn id="15" xr3:uid="{00000000-0010-0000-0A00-00000F000000}" name="Open point"/>
    <tableColumn id="16" xr3:uid="{00000000-0010-0000-0A00-000010000000}" name="Review"/>
    <tableColumn id="17" xr3:uid="{00000000-0010-0000-0A00-000011000000}" name="Characters"/>
    <tableColumn id="18" xr3:uid="{00000000-0010-0000-0A00-000012000000}" name="Limit check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Questions_COMM" displayName="Questions_COMM" ref="A1:R12">
  <autoFilter ref="A1:R12" xr:uid="{00000000-0009-0000-0100-00000C000000}"/>
  <tableColumns count="18">
    <tableColumn id="1" xr3:uid="{00000000-0010-0000-0B00-000001000000}" name="ID"/>
    <tableColumn id="2" xr3:uid="{00000000-0010-0000-0B00-000002000000}" name="Parent"/>
    <tableColumn id="3" xr3:uid="{00000000-0010-0000-0B00-000003000000}" name="Priority"/>
    <tableColumn id="4" xr3:uid="{00000000-0010-0000-0B00-000004000000}" name="Requirement"/>
    <tableColumn id="5" xr3:uid="{00000000-0010-0000-0B00-000005000000}" name="Format"/>
    <tableColumn id="6" xr3:uid="{00000000-0010-0000-0B00-000006000000}" name="Max characters"/>
    <tableColumn id="7" xr3:uid="{00000000-0010-0000-0B00-000007000000}" name="Applies when"/>
    <tableColumn id="8" xr3:uid="{00000000-0010-0000-0B00-000008000000}" name="Evidence required"/>
    <tableColumn id="9" xr3:uid="{00000000-0010-0000-0B00-000009000000}" name="Answer"/>
    <tableColumn id="10" xr3:uid="{00000000-0010-0000-0B00-00000A000000}" name="Status"/>
    <tableColumn id="11" xr3:uid="{00000000-0010-0000-0B00-00000B000000}" name="Source ID"/>
    <tableColumn id="12" xr3:uid="{00000000-0010-0000-0B00-00000C000000}" name="Version"/>
    <tableColumn id="13" xr3:uid="{00000000-0010-0000-0B00-00000D000000}" name="Section"/>
    <tableColumn id="14" xr3:uid="{00000000-0010-0000-0B00-00000E000000}" name="Cloud link"/>
    <tableColumn id="15" xr3:uid="{00000000-0010-0000-0B00-00000F000000}" name="Open point"/>
    <tableColumn id="16" xr3:uid="{00000000-0010-0000-0B00-000010000000}" name="Review"/>
    <tableColumn id="17" xr3:uid="{00000000-0010-0000-0B00-000011000000}" name="Characters"/>
    <tableColumn id="18" xr3:uid="{00000000-0010-0000-0B00-000012000000}" name="Limit chec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12"/>
  <sheetViews>
    <sheetView tabSelected="1"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4" customWidth="1"/>
    <col min="2" max="2" width="115" customWidth="1"/>
  </cols>
  <sheetData>
    <row r="1" spans="1:2" ht="32.1" customHeight="1" x14ac:dyDescent="0.25">
      <c r="A1" s="1" t="s">
        <v>0</v>
      </c>
      <c r="B1" s="1" t="s">
        <v>1</v>
      </c>
    </row>
    <row r="2" spans="1:2" ht="42" customHeight="1" x14ac:dyDescent="0.25">
      <c r="A2" s="2" t="s">
        <v>2</v>
      </c>
      <c r="B2" s="2" t="inlineStr">
        <is>
          <t>EN-FULL-05</t>
        </is>
      </c>
    </row>
    <row r="3" spans="1:2" ht="42" customHeight="1" x14ac:dyDescent="0.25">
      <c r="A3" s="2" t="s">
        <v>4</v>
      </c>
      <c r="B3" s="2" t="s">
        <v>5</v>
      </c>
    </row>
    <row r="4" spans="1:2" ht="42" customHeight="1" x14ac:dyDescent="0.25">
      <c r="A4" s="2" t="s">
        <v>6</v>
      </c>
      <c r="B4" s="2" t="s">
        <v>7</v>
      </c>
    </row>
    <row r="5" spans="1:2" ht="42" customHeight="1" x14ac:dyDescent="0.25">
      <c r="A5" s="2" t="s">
        <v>8</v>
      </c>
      <c r="B5" s="2">
        <f>COUNTA(QUAL!A2:A12)+COUNTA(ARCH!A2:A12)+COUNTA(NET!A2:A12)+COUNTA(SEC!A2:A12)+COUNTA(DATA!A2:A12)+COUNTA(EVID!A2:A12)+COUNTA(OPS!A2:A12)+COUNTA(SUPPORT!A2:A12)+COUNTA(IMPL!A2:A12)+COUNTA(SUPPLY!A2:A12)+COUNTA(LEGAL!A2:A12)+COUNTA(COMM!A2:A12)</f>
        <v>132</v>
      </c>
    </row>
    <row r="6" spans="1:2" ht="42" customHeight="1" x14ac:dyDescent="0.25">
      <c r="A6" s="2" t="s">
        <v>9</v>
      </c>
      <c r="B6" s="2" t="inlineStr">
        <is>
          <t>Demo-Kit/Cowork/cowork-rfi-rfp/runs/en/full/05/results</t>
        </is>
      </c>
    </row>
    <row r="7" spans="1:2" ht="42" customHeight="1" x14ac:dyDescent="0.25">
      <c r="A7" s="2" t="s">
        <v>11</v>
      </c>
      <c r="B7" s="2" t="s">
        <v>12</v>
      </c>
    </row>
    <row r="8" spans="1:2" ht="42" customHeight="1" x14ac:dyDescent="0.25">
      <c r="A8" s="2" t="s">
        <v>13</v>
      </c>
      <c r="B8" s="2" t="s">
        <v>14</v>
      </c>
    </row>
    <row r="9" spans="1:2" ht="42" customHeight="1" x14ac:dyDescent="0.25">
      <c r="A9" s="2" t="s">
        <v>15</v>
      </c>
      <c r="B9" s="2" t="s">
        <v>16</v>
      </c>
    </row>
    <row r="10" spans="1:2" ht="42" customHeight="1" x14ac:dyDescent="0.25">
      <c r="A10" s="2" t="s">
        <v>17</v>
      </c>
      <c r="B10" s="2" t="s">
        <v>18</v>
      </c>
    </row>
    <row r="11" spans="1:2" ht="42" customHeight="1" x14ac:dyDescent="0.25">
      <c r="A11" s="2" t="s">
        <v>19</v>
      </c>
      <c r="B11" s="2" t="s">
        <v>20</v>
      </c>
    </row>
    <row r="12" spans="1:2" ht="42" customHeight="1" x14ac:dyDescent="0.25">
      <c r="A12" s="2" t="s">
        <v>21</v>
      </c>
      <c r="B12" s="2" t="s">
        <v>22</v>
      </c>
    </row>
  </sheetData>
  <autoFilter ref="A1:B12" xr:uid="{00000000-0009-0000-0000-000000000000}"/>
  <pageMargins left="0.75" right="0.75" top="1" bottom="1" header="0.5" footer="0.5"/>
  <pageSetup paperSize="8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41</v>
      </c>
      <c r="B2" s="2"/>
      <c r="C2" s="2" t="s">
        <v>42</v>
      </c>
      <c r="D2" s="2" t="s">
        <v>43</v>
      </c>
      <c r="E2" s="2" t="s">
        <v>44</v>
      </c>
      <c r="F2" s="2">
        <v>450</v>
      </c>
      <c r="G2" s="2" t="s">
        <v>45</v>
      </c>
      <c r="H2" s="2" t="s">
        <v>46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47</v>
      </c>
      <c r="B3" s="2"/>
      <c r="C3" s="2" t="s">
        <v>42</v>
      </c>
      <c r="D3" s="2" t="s">
        <v>48</v>
      </c>
      <c r="E3" s="2" t="s">
        <v>44</v>
      </c>
      <c r="F3" s="2">
        <v>450</v>
      </c>
      <c r="G3" s="2" t="s">
        <v>45</v>
      </c>
      <c r="H3" s="2" t="s">
        <v>46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49</v>
      </c>
      <c r="B4" s="2"/>
      <c r="C4" s="2" t="s">
        <v>42</v>
      </c>
      <c r="D4" s="2" t="s">
        <v>50</v>
      </c>
      <c r="E4" s="2" t="s">
        <v>44</v>
      </c>
      <c r="F4" s="2">
        <v>450</v>
      </c>
      <c r="G4" s="2" t="s">
        <v>45</v>
      </c>
      <c r="H4" s="2" t="s">
        <v>46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51</v>
      </c>
      <c r="B5" s="2"/>
      <c r="C5" s="2" t="s">
        <v>42</v>
      </c>
      <c r="D5" s="2" t="s">
        <v>52</v>
      </c>
      <c r="E5" s="2" t="s">
        <v>44</v>
      </c>
      <c r="F5" s="2">
        <v>450</v>
      </c>
      <c r="G5" s="2" t="s">
        <v>45</v>
      </c>
      <c r="H5" s="2" t="s">
        <v>46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53</v>
      </c>
      <c r="B6" s="2"/>
      <c r="C6" s="2" t="s">
        <v>42</v>
      </c>
      <c r="D6" s="2" t="s">
        <v>54</v>
      </c>
      <c r="E6" s="2" t="s">
        <v>44</v>
      </c>
      <c r="F6" s="2">
        <v>450</v>
      </c>
      <c r="G6" s="2" t="s">
        <v>45</v>
      </c>
      <c r="H6" s="2" t="s">
        <v>46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55</v>
      </c>
      <c r="B7" s="2"/>
      <c r="C7" s="2" t="s">
        <v>42</v>
      </c>
      <c r="D7" s="2" t="s">
        <v>56</v>
      </c>
      <c r="E7" s="2" t="s">
        <v>44</v>
      </c>
      <c r="F7" s="2">
        <v>450</v>
      </c>
      <c r="G7" s="2" t="s">
        <v>45</v>
      </c>
      <c r="H7" s="2" t="s">
        <v>46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57</v>
      </c>
      <c r="B8" s="2"/>
      <c r="C8" s="2" t="s">
        <v>42</v>
      </c>
      <c r="D8" s="2" t="s">
        <v>58</v>
      </c>
      <c r="E8" s="2" t="s">
        <v>44</v>
      </c>
      <c r="F8" s="2">
        <v>450</v>
      </c>
      <c r="G8" s="2" t="s">
        <v>45</v>
      </c>
      <c r="H8" s="2" t="s">
        <v>46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59</v>
      </c>
      <c r="B9" s="2"/>
      <c r="C9" s="2" t="s">
        <v>42</v>
      </c>
      <c r="D9" s="2" t="s">
        <v>60</v>
      </c>
      <c r="E9" s="2" t="s">
        <v>44</v>
      </c>
      <c r="F9" s="2">
        <v>450</v>
      </c>
      <c r="G9" s="2" t="s">
        <v>45</v>
      </c>
      <c r="H9" s="2" t="s">
        <v>46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61</v>
      </c>
      <c r="B10" s="2"/>
      <c r="C10" s="2" t="s">
        <v>62</v>
      </c>
      <c r="D10" s="2" t="s">
        <v>63</v>
      </c>
      <c r="E10" s="2" t="s">
        <v>44</v>
      </c>
      <c r="F10" s="2">
        <v>450</v>
      </c>
      <c r="G10" s="2" t="s">
        <v>45</v>
      </c>
      <c r="H10" s="2" t="s">
        <v>46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64</v>
      </c>
      <c r="B11" s="2"/>
      <c r="C11" s="2" t="s">
        <v>62</v>
      </c>
      <c r="D11" s="2" t="s">
        <v>65</v>
      </c>
      <c r="E11" s="2" t="s">
        <v>44</v>
      </c>
      <c r="F11" s="2">
        <v>450</v>
      </c>
      <c r="G11" s="2" t="s">
        <v>45</v>
      </c>
      <c r="H11" s="2" t="s">
        <v>46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66</v>
      </c>
      <c r="B12" s="2"/>
      <c r="C12" s="2" t="s">
        <v>62</v>
      </c>
      <c r="D12" s="2" t="s">
        <v>67</v>
      </c>
      <c r="E12" s="2" t="s">
        <v>44</v>
      </c>
      <c r="F12" s="2">
        <v>450</v>
      </c>
      <c r="G12" s="2" t="s">
        <v>45</v>
      </c>
      <c r="H12" s="2" t="s">
        <v>46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1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1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68</v>
      </c>
      <c r="B2" s="2"/>
      <c r="C2" s="2" t="s">
        <v>42</v>
      </c>
      <c r="D2" s="2" t="s">
        <v>69</v>
      </c>
      <c r="E2" s="2" t="s">
        <v>44</v>
      </c>
      <c r="F2" s="2">
        <v>450</v>
      </c>
      <c r="G2" s="2" t="s">
        <v>45</v>
      </c>
      <c r="H2" s="2" t="s">
        <v>70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71</v>
      </c>
      <c r="B3" s="2"/>
      <c r="C3" s="2" t="s">
        <v>42</v>
      </c>
      <c r="D3" s="2" t="s">
        <v>72</v>
      </c>
      <c r="E3" s="2" t="s">
        <v>44</v>
      </c>
      <c r="F3" s="2">
        <v>450</v>
      </c>
      <c r="G3" s="2" t="s">
        <v>45</v>
      </c>
      <c r="H3" s="2" t="s">
        <v>70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73</v>
      </c>
      <c r="B4" s="2"/>
      <c r="C4" s="2" t="s">
        <v>42</v>
      </c>
      <c r="D4" s="2" t="s">
        <v>74</v>
      </c>
      <c r="E4" s="2" t="s">
        <v>44</v>
      </c>
      <c r="F4" s="2">
        <v>450</v>
      </c>
      <c r="G4" s="2" t="s">
        <v>45</v>
      </c>
      <c r="H4" s="2" t="s">
        <v>70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75</v>
      </c>
      <c r="B5" s="2"/>
      <c r="C5" s="2" t="s">
        <v>42</v>
      </c>
      <c r="D5" s="2" t="s">
        <v>76</v>
      </c>
      <c r="E5" s="2" t="s">
        <v>44</v>
      </c>
      <c r="F5" s="2">
        <v>450</v>
      </c>
      <c r="G5" s="2" t="s">
        <v>45</v>
      </c>
      <c r="H5" s="2" t="s">
        <v>70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77</v>
      </c>
      <c r="B6" s="2"/>
      <c r="C6" s="2" t="s">
        <v>42</v>
      </c>
      <c r="D6" s="2" t="s">
        <v>78</v>
      </c>
      <c r="E6" s="2" t="s">
        <v>44</v>
      </c>
      <c r="F6" s="2">
        <v>450</v>
      </c>
      <c r="G6" s="2" t="s">
        <v>45</v>
      </c>
      <c r="H6" s="2" t="s">
        <v>70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79</v>
      </c>
      <c r="B7" s="2"/>
      <c r="C7" s="2" t="s">
        <v>42</v>
      </c>
      <c r="D7" s="2" t="s">
        <v>80</v>
      </c>
      <c r="E7" s="2" t="s">
        <v>44</v>
      </c>
      <c r="F7" s="2">
        <v>450</v>
      </c>
      <c r="G7" s="2" t="s">
        <v>45</v>
      </c>
      <c r="H7" s="2" t="s">
        <v>70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81</v>
      </c>
      <c r="B8" s="2"/>
      <c r="C8" s="2" t="s">
        <v>42</v>
      </c>
      <c r="D8" s="2" t="s">
        <v>82</v>
      </c>
      <c r="E8" s="2" t="s">
        <v>44</v>
      </c>
      <c r="F8" s="2">
        <v>450</v>
      </c>
      <c r="G8" s="2" t="s">
        <v>45</v>
      </c>
      <c r="H8" s="2" t="s">
        <v>70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83</v>
      </c>
      <c r="B9" s="2"/>
      <c r="C9" s="2" t="s">
        <v>42</v>
      </c>
      <c r="D9" s="2" t="s">
        <v>84</v>
      </c>
      <c r="E9" s="2" t="s">
        <v>44</v>
      </c>
      <c r="F9" s="2">
        <v>450</v>
      </c>
      <c r="G9" s="2" t="s">
        <v>45</v>
      </c>
      <c r="H9" s="2" t="s">
        <v>70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85</v>
      </c>
      <c r="B10" s="2"/>
      <c r="C10" s="2" t="s">
        <v>62</v>
      </c>
      <c r="D10" s="2" t="s">
        <v>86</v>
      </c>
      <c r="E10" s="2" t="s">
        <v>44</v>
      </c>
      <c r="F10" s="2">
        <v>450</v>
      </c>
      <c r="G10" s="2" t="s">
        <v>45</v>
      </c>
      <c r="H10" s="2" t="s">
        <v>70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87</v>
      </c>
      <c r="B11" s="2"/>
      <c r="C11" s="2" t="s">
        <v>62</v>
      </c>
      <c r="D11" s="2" t="s">
        <v>88</v>
      </c>
      <c r="E11" s="2" t="s">
        <v>44</v>
      </c>
      <c r="F11" s="2">
        <v>450</v>
      </c>
      <c r="G11" s="2" t="s">
        <v>45</v>
      </c>
      <c r="H11" s="2" t="s">
        <v>70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89</v>
      </c>
      <c r="B12" s="2"/>
      <c r="C12" s="2" t="s">
        <v>62</v>
      </c>
      <c r="D12" s="2" t="s">
        <v>90</v>
      </c>
      <c r="E12" s="2" t="s">
        <v>44</v>
      </c>
      <c r="F12" s="2">
        <v>450</v>
      </c>
      <c r="G12" s="2" t="s">
        <v>45</v>
      </c>
      <c r="H12" s="2" t="s">
        <v>70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2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2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91</v>
      </c>
      <c r="B2" s="2"/>
      <c r="C2" s="2" t="s">
        <v>42</v>
      </c>
      <c r="D2" s="2" t="s">
        <v>92</v>
      </c>
      <c r="E2" s="2" t="s">
        <v>44</v>
      </c>
      <c r="F2" s="2">
        <v>450</v>
      </c>
      <c r="G2" s="2" t="s">
        <v>45</v>
      </c>
      <c r="H2" s="2" t="s">
        <v>93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94</v>
      </c>
      <c r="B3" s="2"/>
      <c r="C3" s="2" t="s">
        <v>42</v>
      </c>
      <c r="D3" s="2" t="s">
        <v>95</v>
      </c>
      <c r="E3" s="2" t="s">
        <v>96</v>
      </c>
      <c r="F3" s="2">
        <v>450</v>
      </c>
      <c r="G3" s="2" t="s">
        <v>45</v>
      </c>
      <c r="H3" s="2" t="s">
        <v>93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97</v>
      </c>
      <c r="B4" s="2"/>
      <c r="C4" s="2" t="s">
        <v>42</v>
      </c>
      <c r="D4" s="2" t="s">
        <v>98</v>
      </c>
      <c r="E4" s="2" t="s">
        <v>44</v>
      </c>
      <c r="F4" s="2">
        <v>450</v>
      </c>
      <c r="G4" s="2" t="s">
        <v>45</v>
      </c>
      <c r="H4" s="2" t="s">
        <v>93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99</v>
      </c>
      <c r="B5" s="2"/>
      <c r="C5" s="2" t="s">
        <v>42</v>
      </c>
      <c r="D5" s="2" t="s">
        <v>100</v>
      </c>
      <c r="E5" s="2" t="s">
        <v>44</v>
      </c>
      <c r="F5" s="2">
        <v>450</v>
      </c>
      <c r="G5" s="2" t="s">
        <v>45</v>
      </c>
      <c r="H5" s="2" t="s">
        <v>93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101</v>
      </c>
      <c r="B6" s="2"/>
      <c r="C6" s="2" t="s">
        <v>42</v>
      </c>
      <c r="D6" s="2" t="s">
        <v>102</v>
      </c>
      <c r="E6" s="2" t="s">
        <v>44</v>
      </c>
      <c r="F6" s="2">
        <v>450</v>
      </c>
      <c r="G6" s="2" t="s">
        <v>45</v>
      </c>
      <c r="H6" s="2" t="s">
        <v>93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103</v>
      </c>
      <c r="B7" s="2"/>
      <c r="C7" s="2" t="s">
        <v>42</v>
      </c>
      <c r="D7" s="2" t="s">
        <v>104</v>
      </c>
      <c r="E7" s="2" t="s">
        <v>44</v>
      </c>
      <c r="F7" s="2">
        <v>450</v>
      </c>
      <c r="G7" s="2" t="s">
        <v>45</v>
      </c>
      <c r="H7" s="2" t="s">
        <v>93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105</v>
      </c>
      <c r="B8" s="2"/>
      <c r="C8" s="2" t="s">
        <v>42</v>
      </c>
      <c r="D8" s="2" t="s">
        <v>106</v>
      </c>
      <c r="E8" s="2" t="s">
        <v>44</v>
      </c>
      <c r="F8" s="2">
        <v>450</v>
      </c>
      <c r="G8" s="2" t="s">
        <v>45</v>
      </c>
      <c r="H8" s="2" t="s">
        <v>93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107</v>
      </c>
      <c r="B9" s="2"/>
      <c r="C9" s="2" t="s">
        <v>42</v>
      </c>
      <c r="D9" s="2" t="s">
        <v>108</v>
      </c>
      <c r="E9" s="2" t="s">
        <v>44</v>
      </c>
      <c r="F9" s="2">
        <v>450</v>
      </c>
      <c r="G9" s="2" t="s">
        <v>45</v>
      </c>
      <c r="H9" s="2" t="s">
        <v>93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109</v>
      </c>
      <c r="B10" s="2"/>
      <c r="C10" s="2" t="s">
        <v>62</v>
      </c>
      <c r="D10" s="2" t="s">
        <v>110</v>
      </c>
      <c r="E10" s="2" t="s">
        <v>44</v>
      </c>
      <c r="F10" s="2">
        <v>450</v>
      </c>
      <c r="G10" s="2" t="s">
        <v>45</v>
      </c>
      <c r="H10" s="2" t="s">
        <v>93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111</v>
      </c>
      <c r="B11" s="2"/>
      <c r="C11" s="2" t="s">
        <v>62</v>
      </c>
      <c r="D11" s="2" t="s">
        <v>112</v>
      </c>
      <c r="E11" s="2" t="s">
        <v>44</v>
      </c>
      <c r="F11" s="2">
        <v>450</v>
      </c>
      <c r="G11" s="2" t="s">
        <v>45</v>
      </c>
      <c r="H11" s="2" t="s">
        <v>93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113</v>
      </c>
      <c r="B12" s="2"/>
      <c r="C12" s="2" t="s">
        <v>62</v>
      </c>
      <c r="D12" s="2" t="s">
        <v>114</v>
      </c>
      <c r="E12" s="2" t="s">
        <v>44</v>
      </c>
      <c r="F12" s="2">
        <v>450</v>
      </c>
      <c r="G12" s="2" t="s">
        <v>45</v>
      </c>
      <c r="H12" s="2" t="s">
        <v>93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3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3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115</v>
      </c>
      <c r="B2" s="2"/>
      <c r="C2" s="2" t="s">
        <v>42</v>
      </c>
      <c r="D2" s="2" t="s">
        <v>116</v>
      </c>
      <c r="E2" s="2" t="s">
        <v>117</v>
      </c>
      <c r="F2" s="2">
        <v>160</v>
      </c>
      <c r="G2" s="2" t="s">
        <v>45</v>
      </c>
      <c r="H2" s="2" t="s">
        <v>118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119</v>
      </c>
      <c r="B3" s="2" t="s">
        <v>115</v>
      </c>
      <c r="C3" s="2" t="s">
        <v>42</v>
      </c>
      <c r="D3" s="2" t="s">
        <v>120</v>
      </c>
      <c r="E3" s="2" t="s">
        <v>121</v>
      </c>
      <c r="F3" s="2">
        <v>450</v>
      </c>
      <c r="G3" s="2" t="s">
        <v>122</v>
      </c>
      <c r="H3" s="2" t="s">
        <v>118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123</v>
      </c>
      <c r="B4" s="2"/>
      <c r="C4" s="2" t="s">
        <v>42</v>
      </c>
      <c r="D4" s="2" t="s">
        <v>124</v>
      </c>
      <c r="E4" s="2" t="s">
        <v>44</v>
      </c>
      <c r="F4" s="2">
        <v>450</v>
      </c>
      <c r="G4" s="2" t="s">
        <v>45</v>
      </c>
      <c r="H4" s="2" t="s">
        <v>118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125</v>
      </c>
      <c r="B5" s="2"/>
      <c r="C5" s="2" t="s">
        <v>42</v>
      </c>
      <c r="D5" s="2" t="s">
        <v>126</v>
      </c>
      <c r="E5" s="2" t="s">
        <v>44</v>
      </c>
      <c r="F5" s="2">
        <v>450</v>
      </c>
      <c r="G5" s="2" t="s">
        <v>45</v>
      </c>
      <c r="H5" s="2" t="s">
        <v>118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127</v>
      </c>
      <c r="B6" s="2"/>
      <c r="C6" s="2" t="s">
        <v>42</v>
      </c>
      <c r="D6" s="2" t="s">
        <v>128</v>
      </c>
      <c r="E6" s="2" t="s">
        <v>44</v>
      </c>
      <c r="F6" s="2">
        <v>450</v>
      </c>
      <c r="G6" s="2" t="s">
        <v>45</v>
      </c>
      <c r="H6" s="2" t="s">
        <v>118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129</v>
      </c>
      <c r="B7" s="2"/>
      <c r="C7" s="2" t="s">
        <v>42</v>
      </c>
      <c r="D7" s="2" t="s">
        <v>130</v>
      </c>
      <c r="E7" s="2" t="s">
        <v>44</v>
      </c>
      <c r="F7" s="2">
        <v>450</v>
      </c>
      <c r="G7" s="2" t="s">
        <v>45</v>
      </c>
      <c r="H7" s="2" t="s">
        <v>118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131</v>
      </c>
      <c r="B8" s="2"/>
      <c r="C8" s="2" t="s">
        <v>42</v>
      </c>
      <c r="D8" s="2" t="s">
        <v>132</v>
      </c>
      <c r="E8" s="2" t="s">
        <v>44</v>
      </c>
      <c r="F8" s="2">
        <v>450</v>
      </c>
      <c r="G8" s="2" t="s">
        <v>45</v>
      </c>
      <c r="H8" s="2" t="s">
        <v>118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133</v>
      </c>
      <c r="B9" s="2"/>
      <c r="C9" s="2" t="s">
        <v>42</v>
      </c>
      <c r="D9" s="2" t="s">
        <v>134</v>
      </c>
      <c r="E9" s="2" t="s">
        <v>44</v>
      </c>
      <c r="F9" s="2">
        <v>450</v>
      </c>
      <c r="G9" s="2" t="s">
        <v>45</v>
      </c>
      <c r="H9" s="2" t="s">
        <v>118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135</v>
      </c>
      <c r="B10" s="2"/>
      <c r="C10" s="2" t="s">
        <v>62</v>
      </c>
      <c r="D10" s="2" t="s">
        <v>136</v>
      </c>
      <c r="E10" s="2" t="s">
        <v>44</v>
      </c>
      <c r="F10" s="2">
        <v>450</v>
      </c>
      <c r="G10" s="2" t="s">
        <v>45</v>
      </c>
      <c r="H10" s="2" t="s">
        <v>118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137</v>
      </c>
      <c r="B11" s="2"/>
      <c r="C11" s="2" t="s">
        <v>62</v>
      </c>
      <c r="D11" s="2" t="s">
        <v>138</v>
      </c>
      <c r="E11" s="2" t="s">
        <v>44</v>
      </c>
      <c r="F11" s="2">
        <v>450</v>
      </c>
      <c r="G11" s="2" t="s">
        <v>45</v>
      </c>
      <c r="H11" s="2" t="s">
        <v>118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139</v>
      </c>
      <c r="B12" s="2"/>
      <c r="C12" s="2" t="s">
        <v>62</v>
      </c>
      <c r="D12" s="2" t="s">
        <v>140</v>
      </c>
      <c r="E12" s="2" t="s">
        <v>44</v>
      </c>
      <c r="F12" s="2">
        <v>450</v>
      </c>
      <c r="G12" s="2" t="s">
        <v>45</v>
      </c>
      <c r="H12" s="2" t="s">
        <v>118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4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4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141</v>
      </c>
      <c r="B2" s="2"/>
      <c r="C2" s="2" t="s">
        <v>42</v>
      </c>
      <c r="D2" s="2" t="s">
        <v>142</v>
      </c>
      <c r="E2" s="2" t="s">
        <v>143</v>
      </c>
      <c r="F2" s="2">
        <v>450</v>
      </c>
      <c r="G2" s="2" t="s">
        <v>45</v>
      </c>
      <c r="H2" s="2" t="s">
        <v>144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145</v>
      </c>
      <c r="B3" s="2" t="s">
        <v>141</v>
      </c>
      <c r="C3" s="2" t="s">
        <v>42</v>
      </c>
      <c r="D3" s="2" t="s">
        <v>146</v>
      </c>
      <c r="E3" s="2" t="s">
        <v>44</v>
      </c>
      <c r="F3" s="2">
        <v>450</v>
      </c>
      <c r="G3" s="2" t="s">
        <v>147</v>
      </c>
      <c r="H3" s="2" t="s">
        <v>144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148</v>
      </c>
      <c r="B4" s="2"/>
      <c r="C4" s="2" t="s">
        <v>42</v>
      </c>
      <c r="D4" s="2" t="s">
        <v>149</v>
      </c>
      <c r="E4" s="2" t="s">
        <v>44</v>
      </c>
      <c r="F4" s="2">
        <v>450</v>
      </c>
      <c r="G4" s="2" t="s">
        <v>45</v>
      </c>
      <c r="H4" s="2" t="s">
        <v>144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150</v>
      </c>
      <c r="B5" s="2"/>
      <c r="C5" s="2" t="s">
        <v>42</v>
      </c>
      <c r="D5" s="2" t="s">
        <v>151</v>
      </c>
      <c r="E5" s="2" t="s">
        <v>44</v>
      </c>
      <c r="F5" s="2">
        <v>450</v>
      </c>
      <c r="G5" s="2" t="s">
        <v>45</v>
      </c>
      <c r="H5" s="2" t="s">
        <v>144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152</v>
      </c>
      <c r="B6" s="2"/>
      <c r="C6" s="2" t="s">
        <v>42</v>
      </c>
      <c r="D6" s="2" t="s">
        <v>153</v>
      </c>
      <c r="E6" s="2" t="s">
        <v>44</v>
      </c>
      <c r="F6" s="2">
        <v>450</v>
      </c>
      <c r="G6" s="2" t="s">
        <v>45</v>
      </c>
      <c r="H6" s="2" t="s">
        <v>144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154</v>
      </c>
      <c r="B7" s="2"/>
      <c r="C7" s="2" t="s">
        <v>42</v>
      </c>
      <c r="D7" s="2" t="s">
        <v>155</v>
      </c>
      <c r="E7" s="2" t="s">
        <v>44</v>
      </c>
      <c r="F7" s="2">
        <v>450</v>
      </c>
      <c r="G7" s="2" t="s">
        <v>45</v>
      </c>
      <c r="H7" s="2" t="s">
        <v>144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156</v>
      </c>
      <c r="B8" s="2"/>
      <c r="C8" s="2" t="s">
        <v>42</v>
      </c>
      <c r="D8" s="2" t="s">
        <v>157</v>
      </c>
      <c r="E8" s="2" t="s">
        <v>44</v>
      </c>
      <c r="F8" s="2">
        <v>450</v>
      </c>
      <c r="G8" s="2" t="s">
        <v>45</v>
      </c>
      <c r="H8" s="2" t="s">
        <v>144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158</v>
      </c>
      <c r="B9" s="2"/>
      <c r="C9" s="2" t="s">
        <v>42</v>
      </c>
      <c r="D9" s="2" t="s">
        <v>159</v>
      </c>
      <c r="E9" s="2" t="s">
        <v>44</v>
      </c>
      <c r="F9" s="2">
        <v>450</v>
      </c>
      <c r="G9" s="2" t="s">
        <v>45</v>
      </c>
      <c r="H9" s="2" t="s">
        <v>144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160</v>
      </c>
      <c r="B10" s="2"/>
      <c r="C10" s="2" t="s">
        <v>62</v>
      </c>
      <c r="D10" s="2" t="s">
        <v>161</v>
      </c>
      <c r="E10" s="2" t="s">
        <v>44</v>
      </c>
      <c r="F10" s="2">
        <v>450</v>
      </c>
      <c r="G10" s="2" t="s">
        <v>45</v>
      </c>
      <c r="H10" s="2" t="s">
        <v>144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162</v>
      </c>
      <c r="B11" s="2"/>
      <c r="C11" s="2" t="s">
        <v>62</v>
      </c>
      <c r="D11" s="2" t="s">
        <v>163</v>
      </c>
      <c r="E11" s="2" t="s">
        <v>44</v>
      </c>
      <c r="F11" s="2">
        <v>450</v>
      </c>
      <c r="G11" s="2" t="s">
        <v>45</v>
      </c>
      <c r="H11" s="2" t="s">
        <v>144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164</v>
      </c>
      <c r="B12" s="2"/>
      <c r="C12" s="2" t="s">
        <v>62</v>
      </c>
      <c r="D12" s="2" t="s">
        <v>165</v>
      </c>
      <c r="E12" s="2" t="s">
        <v>44</v>
      </c>
      <c r="F12" s="2">
        <v>450</v>
      </c>
      <c r="G12" s="2" t="s">
        <v>45</v>
      </c>
      <c r="H12" s="2" t="s">
        <v>144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5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5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166</v>
      </c>
      <c r="B2" s="2"/>
      <c r="C2" s="2" t="s">
        <v>42</v>
      </c>
      <c r="D2" s="2" t="s">
        <v>167</v>
      </c>
      <c r="E2" s="2" t="s">
        <v>168</v>
      </c>
      <c r="F2" s="2">
        <v>160</v>
      </c>
      <c r="G2" s="2" t="s">
        <v>45</v>
      </c>
      <c r="H2" s="2" t="s">
        <v>169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170</v>
      </c>
      <c r="B3" s="2" t="s">
        <v>166</v>
      </c>
      <c r="C3" s="2" t="s">
        <v>42</v>
      </c>
      <c r="D3" s="2" t="s">
        <v>171</v>
      </c>
      <c r="E3" s="2" t="s">
        <v>172</v>
      </c>
      <c r="F3" s="2">
        <v>450</v>
      </c>
      <c r="G3" s="2" t="s">
        <v>173</v>
      </c>
      <c r="H3" s="2" t="s">
        <v>169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174</v>
      </c>
      <c r="B4" s="2"/>
      <c r="C4" s="2" t="s">
        <v>42</v>
      </c>
      <c r="D4" s="2" t="s">
        <v>175</v>
      </c>
      <c r="E4" s="2" t="s">
        <v>44</v>
      </c>
      <c r="F4" s="2">
        <v>450</v>
      </c>
      <c r="G4" s="2" t="s">
        <v>45</v>
      </c>
      <c r="H4" s="2" t="s">
        <v>169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176</v>
      </c>
      <c r="B5" s="2"/>
      <c r="C5" s="2" t="s">
        <v>42</v>
      </c>
      <c r="D5" s="2" t="s">
        <v>177</v>
      </c>
      <c r="E5" s="2" t="s">
        <v>44</v>
      </c>
      <c r="F5" s="2">
        <v>450</v>
      </c>
      <c r="G5" s="2" t="s">
        <v>45</v>
      </c>
      <c r="H5" s="2" t="s">
        <v>169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178</v>
      </c>
      <c r="B6" s="2"/>
      <c r="C6" s="2" t="s">
        <v>42</v>
      </c>
      <c r="D6" s="2" t="s">
        <v>179</v>
      </c>
      <c r="E6" s="2" t="s">
        <v>44</v>
      </c>
      <c r="F6" s="2">
        <v>450</v>
      </c>
      <c r="G6" s="2" t="s">
        <v>45</v>
      </c>
      <c r="H6" s="2" t="s">
        <v>169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180</v>
      </c>
      <c r="B7" s="2"/>
      <c r="C7" s="2" t="s">
        <v>42</v>
      </c>
      <c r="D7" s="2" t="s">
        <v>181</v>
      </c>
      <c r="E7" s="2" t="s">
        <v>44</v>
      </c>
      <c r="F7" s="2">
        <v>450</v>
      </c>
      <c r="G7" s="2" t="s">
        <v>45</v>
      </c>
      <c r="H7" s="2" t="s">
        <v>169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182</v>
      </c>
      <c r="B8" s="2"/>
      <c r="C8" s="2" t="s">
        <v>42</v>
      </c>
      <c r="D8" s="2" t="s">
        <v>183</v>
      </c>
      <c r="E8" s="2" t="s">
        <v>44</v>
      </c>
      <c r="F8" s="2">
        <v>450</v>
      </c>
      <c r="G8" s="2" t="s">
        <v>45</v>
      </c>
      <c r="H8" s="2" t="s">
        <v>169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184</v>
      </c>
      <c r="B9" s="2"/>
      <c r="C9" s="2" t="s">
        <v>42</v>
      </c>
      <c r="D9" s="2" t="s">
        <v>185</v>
      </c>
      <c r="E9" s="2" t="s">
        <v>44</v>
      </c>
      <c r="F9" s="2">
        <v>450</v>
      </c>
      <c r="G9" s="2" t="s">
        <v>45</v>
      </c>
      <c r="H9" s="2" t="s">
        <v>169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186</v>
      </c>
      <c r="B10" s="2"/>
      <c r="C10" s="2" t="s">
        <v>62</v>
      </c>
      <c r="D10" s="2" t="s">
        <v>187</v>
      </c>
      <c r="E10" s="2" t="s">
        <v>44</v>
      </c>
      <c r="F10" s="2">
        <v>450</v>
      </c>
      <c r="G10" s="2" t="s">
        <v>45</v>
      </c>
      <c r="H10" s="2" t="s">
        <v>169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188</v>
      </c>
      <c r="B11" s="2"/>
      <c r="C11" s="2" t="s">
        <v>62</v>
      </c>
      <c r="D11" s="2" t="s">
        <v>189</v>
      </c>
      <c r="E11" s="2" t="s">
        <v>44</v>
      </c>
      <c r="F11" s="2">
        <v>450</v>
      </c>
      <c r="G11" s="2" t="s">
        <v>45</v>
      </c>
      <c r="H11" s="2" t="s">
        <v>169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190</v>
      </c>
      <c r="B12" s="2"/>
      <c r="C12" s="2" t="s">
        <v>62</v>
      </c>
      <c r="D12" s="2" t="s">
        <v>191</v>
      </c>
      <c r="E12" s="2" t="s">
        <v>44</v>
      </c>
      <c r="F12" s="2">
        <v>450</v>
      </c>
      <c r="G12" s="2" t="s">
        <v>45</v>
      </c>
      <c r="H12" s="2" t="s">
        <v>169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6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6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192</v>
      </c>
      <c r="B2" s="2"/>
      <c r="C2" s="2" t="s">
        <v>42</v>
      </c>
      <c r="D2" s="2" t="s">
        <v>193</v>
      </c>
      <c r="E2" s="2" t="s">
        <v>44</v>
      </c>
      <c r="F2" s="2">
        <v>450</v>
      </c>
      <c r="G2" s="2" t="s">
        <v>45</v>
      </c>
      <c r="H2" s="2" t="s">
        <v>194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195</v>
      </c>
      <c r="B3" s="2"/>
      <c r="C3" s="2" t="s">
        <v>42</v>
      </c>
      <c r="D3" s="2" t="s">
        <v>196</v>
      </c>
      <c r="E3" s="2" t="s">
        <v>44</v>
      </c>
      <c r="F3" s="2">
        <v>450</v>
      </c>
      <c r="G3" s="2" t="s">
        <v>45</v>
      </c>
      <c r="H3" s="2" t="s">
        <v>194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197</v>
      </c>
      <c r="B4" s="2"/>
      <c r="C4" s="2" t="s">
        <v>42</v>
      </c>
      <c r="D4" s="2" t="s">
        <v>198</v>
      </c>
      <c r="E4" s="2" t="s">
        <v>44</v>
      </c>
      <c r="F4" s="2">
        <v>450</v>
      </c>
      <c r="G4" s="2" t="s">
        <v>45</v>
      </c>
      <c r="H4" s="2" t="s">
        <v>194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199</v>
      </c>
      <c r="B5" s="2"/>
      <c r="C5" s="2" t="s">
        <v>42</v>
      </c>
      <c r="D5" s="2" t="s">
        <v>200</v>
      </c>
      <c r="E5" s="2" t="s">
        <v>44</v>
      </c>
      <c r="F5" s="2">
        <v>450</v>
      </c>
      <c r="G5" s="2" t="s">
        <v>45</v>
      </c>
      <c r="H5" s="2" t="s">
        <v>194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201</v>
      </c>
      <c r="B6" s="2"/>
      <c r="C6" s="2" t="s">
        <v>42</v>
      </c>
      <c r="D6" s="2" t="s">
        <v>202</v>
      </c>
      <c r="E6" s="2" t="s">
        <v>44</v>
      </c>
      <c r="F6" s="2">
        <v>450</v>
      </c>
      <c r="G6" s="2" t="s">
        <v>45</v>
      </c>
      <c r="H6" s="2" t="s">
        <v>194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203</v>
      </c>
      <c r="B7" s="2"/>
      <c r="C7" s="2" t="s">
        <v>42</v>
      </c>
      <c r="D7" s="2" t="s">
        <v>204</v>
      </c>
      <c r="E7" s="2" t="s">
        <v>44</v>
      </c>
      <c r="F7" s="2">
        <v>450</v>
      </c>
      <c r="G7" s="2" t="s">
        <v>45</v>
      </c>
      <c r="H7" s="2" t="s">
        <v>194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205</v>
      </c>
      <c r="B8" s="2"/>
      <c r="C8" s="2" t="s">
        <v>42</v>
      </c>
      <c r="D8" s="2" t="s">
        <v>206</v>
      </c>
      <c r="E8" s="2" t="s">
        <v>44</v>
      </c>
      <c r="F8" s="2">
        <v>450</v>
      </c>
      <c r="G8" s="2" t="s">
        <v>45</v>
      </c>
      <c r="H8" s="2" t="s">
        <v>194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207</v>
      </c>
      <c r="B9" s="2"/>
      <c r="C9" s="2" t="s">
        <v>42</v>
      </c>
      <c r="D9" s="2" t="s">
        <v>208</v>
      </c>
      <c r="E9" s="2" t="s">
        <v>44</v>
      </c>
      <c r="F9" s="2">
        <v>450</v>
      </c>
      <c r="G9" s="2" t="s">
        <v>45</v>
      </c>
      <c r="H9" s="2" t="s">
        <v>194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209</v>
      </c>
      <c r="B10" s="2"/>
      <c r="C10" s="2" t="s">
        <v>62</v>
      </c>
      <c r="D10" s="2" t="s">
        <v>210</v>
      </c>
      <c r="E10" s="2" t="s">
        <v>44</v>
      </c>
      <c r="F10" s="2">
        <v>450</v>
      </c>
      <c r="G10" s="2" t="s">
        <v>45</v>
      </c>
      <c r="H10" s="2" t="s">
        <v>194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211</v>
      </c>
      <c r="B11" s="2"/>
      <c r="C11" s="2" t="s">
        <v>62</v>
      </c>
      <c r="D11" s="2" t="s">
        <v>212</v>
      </c>
      <c r="E11" s="2" t="s">
        <v>44</v>
      </c>
      <c r="F11" s="2">
        <v>450</v>
      </c>
      <c r="G11" s="2" t="s">
        <v>45</v>
      </c>
      <c r="H11" s="2" t="s">
        <v>194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213</v>
      </c>
      <c r="B12" s="2"/>
      <c r="C12" s="2" t="s">
        <v>62</v>
      </c>
      <c r="D12" s="2" t="s">
        <v>214</v>
      </c>
      <c r="E12" s="2" t="s">
        <v>44</v>
      </c>
      <c r="F12" s="2">
        <v>450</v>
      </c>
      <c r="G12" s="2" t="s">
        <v>45</v>
      </c>
      <c r="H12" s="2" t="s">
        <v>194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7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7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215</v>
      </c>
      <c r="B2" s="2"/>
      <c r="C2" s="2" t="s">
        <v>42</v>
      </c>
      <c r="D2" s="2" t="s">
        <v>216</v>
      </c>
      <c r="E2" s="2" t="s">
        <v>44</v>
      </c>
      <c r="F2" s="2">
        <v>450</v>
      </c>
      <c r="G2" s="2" t="s">
        <v>45</v>
      </c>
      <c r="H2" s="2" t="s">
        <v>217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218</v>
      </c>
      <c r="B3" s="2"/>
      <c r="C3" s="2" t="s">
        <v>42</v>
      </c>
      <c r="D3" s="2" t="s">
        <v>219</v>
      </c>
      <c r="E3" s="2" t="s">
        <v>44</v>
      </c>
      <c r="F3" s="2">
        <v>450</v>
      </c>
      <c r="G3" s="2" t="s">
        <v>45</v>
      </c>
      <c r="H3" s="2" t="s">
        <v>217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220</v>
      </c>
      <c r="B4" s="2"/>
      <c r="C4" s="2" t="s">
        <v>42</v>
      </c>
      <c r="D4" s="2" t="s">
        <v>221</v>
      </c>
      <c r="E4" s="2" t="s">
        <v>44</v>
      </c>
      <c r="F4" s="2">
        <v>450</v>
      </c>
      <c r="G4" s="2" t="s">
        <v>45</v>
      </c>
      <c r="H4" s="2" t="s">
        <v>217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222</v>
      </c>
      <c r="B5" s="2"/>
      <c r="C5" s="2" t="s">
        <v>42</v>
      </c>
      <c r="D5" s="2" t="s">
        <v>223</v>
      </c>
      <c r="E5" s="2" t="s">
        <v>44</v>
      </c>
      <c r="F5" s="2">
        <v>450</v>
      </c>
      <c r="G5" s="2" t="s">
        <v>45</v>
      </c>
      <c r="H5" s="2" t="s">
        <v>217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224</v>
      </c>
      <c r="B6" s="2"/>
      <c r="C6" s="2" t="s">
        <v>42</v>
      </c>
      <c r="D6" s="2" t="s">
        <v>225</v>
      </c>
      <c r="E6" s="2" t="s">
        <v>44</v>
      </c>
      <c r="F6" s="2">
        <v>450</v>
      </c>
      <c r="G6" s="2" t="s">
        <v>45</v>
      </c>
      <c r="H6" s="2" t="s">
        <v>217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226</v>
      </c>
      <c r="B7" s="2"/>
      <c r="C7" s="2" t="s">
        <v>42</v>
      </c>
      <c r="D7" s="2" t="s">
        <v>227</v>
      </c>
      <c r="E7" s="2" t="s">
        <v>44</v>
      </c>
      <c r="F7" s="2">
        <v>450</v>
      </c>
      <c r="G7" s="2" t="s">
        <v>45</v>
      </c>
      <c r="H7" s="2" t="s">
        <v>217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228</v>
      </c>
      <c r="B8" s="2"/>
      <c r="C8" s="2" t="s">
        <v>42</v>
      </c>
      <c r="D8" s="2" t="s">
        <v>229</v>
      </c>
      <c r="E8" s="2" t="s">
        <v>44</v>
      </c>
      <c r="F8" s="2">
        <v>450</v>
      </c>
      <c r="G8" s="2" t="s">
        <v>45</v>
      </c>
      <c r="H8" s="2" t="s">
        <v>217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230</v>
      </c>
      <c r="B9" s="2"/>
      <c r="C9" s="2" t="s">
        <v>42</v>
      </c>
      <c r="D9" s="2" t="s">
        <v>231</v>
      </c>
      <c r="E9" s="2" t="s">
        <v>44</v>
      </c>
      <c r="F9" s="2">
        <v>450</v>
      </c>
      <c r="G9" s="2" t="s">
        <v>45</v>
      </c>
      <c r="H9" s="2" t="s">
        <v>217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232</v>
      </c>
      <c r="B10" s="2"/>
      <c r="C10" s="2" t="s">
        <v>62</v>
      </c>
      <c r="D10" s="2" t="s">
        <v>233</v>
      </c>
      <c r="E10" s="2" t="s">
        <v>44</v>
      </c>
      <c r="F10" s="2">
        <v>450</v>
      </c>
      <c r="G10" s="2" t="s">
        <v>45</v>
      </c>
      <c r="H10" s="2" t="s">
        <v>217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234</v>
      </c>
      <c r="B11" s="2"/>
      <c r="C11" s="2" t="s">
        <v>62</v>
      </c>
      <c r="D11" s="2" t="s">
        <v>235</v>
      </c>
      <c r="E11" s="2" t="s">
        <v>44</v>
      </c>
      <c r="F11" s="2">
        <v>450</v>
      </c>
      <c r="G11" s="2" t="s">
        <v>45</v>
      </c>
      <c r="H11" s="2" t="s">
        <v>217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236</v>
      </c>
      <c r="B12" s="2"/>
      <c r="C12" s="2" t="s">
        <v>62</v>
      </c>
      <c r="D12" s="2" t="s">
        <v>237</v>
      </c>
      <c r="E12" s="2" t="s">
        <v>44</v>
      </c>
      <c r="F12" s="2">
        <v>450</v>
      </c>
      <c r="G12" s="2" t="s">
        <v>45</v>
      </c>
      <c r="H12" s="2" t="s">
        <v>217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8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8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238</v>
      </c>
      <c r="B2" s="2"/>
      <c r="C2" s="2" t="s">
        <v>42</v>
      </c>
      <c r="D2" s="2" t="s">
        <v>239</v>
      </c>
      <c r="E2" s="2" t="s">
        <v>44</v>
      </c>
      <c r="F2" s="2">
        <v>450</v>
      </c>
      <c r="G2" s="2" t="s">
        <v>45</v>
      </c>
      <c r="H2" s="2" t="s">
        <v>240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241</v>
      </c>
      <c r="B3" s="2"/>
      <c r="C3" s="2" t="s">
        <v>42</v>
      </c>
      <c r="D3" s="2" t="s">
        <v>242</v>
      </c>
      <c r="E3" s="2" t="s">
        <v>44</v>
      </c>
      <c r="F3" s="2">
        <v>450</v>
      </c>
      <c r="G3" s="2" t="s">
        <v>45</v>
      </c>
      <c r="H3" s="2" t="s">
        <v>240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243</v>
      </c>
      <c r="B4" s="2"/>
      <c r="C4" s="2" t="s">
        <v>42</v>
      </c>
      <c r="D4" s="2" t="s">
        <v>244</v>
      </c>
      <c r="E4" s="2" t="s">
        <v>44</v>
      </c>
      <c r="F4" s="2">
        <v>450</v>
      </c>
      <c r="G4" s="2" t="s">
        <v>45</v>
      </c>
      <c r="H4" s="2" t="s">
        <v>240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245</v>
      </c>
      <c r="B5" s="2"/>
      <c r="C5" s="2" t="s">
        <v>42</v>
      </c>
      <c r="D5" s="2" t="s">
        <v>246</v>
      </c>
      <c r="E5" s="2" t="s">
        <v>44</v>
      </c>
      <c r="F5" s="2">
        <v>450</v>
      </c>
      <c r="G5" s="2" t="s">
        <v>45</v>
      </c>
      <c r="H5" s="2" t="s">
        <v>240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247</v>
      </c>
      <c r="B6" s="2"/>
      <c r="C6" s="2" t="s">
        <v>42</v>
      </c>
      <c r="D6" s="2" t="s">
        <v>248</v>
      </c>
      <c r="E6" s="2" t="s">
        <v>44</v>
      </c>
      <c r="F6" s="2">
        <v>450</v>
      </c>
      <c r="G6" s="2" t="s">
        <v>45</v>
      </c>
      <c r="H6" s="2" t="s">
        <v>240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249</v>
      </c>
      <c r="B7" s="2"/>
      <c r="C7" s="2" t="s">
        <v>42</v>
      </c>
      <c r="D7" s="2" t="s">
        <v>250</v>
      </c>
      <c r="E7" s="2" t="s">
        <v>44</v>
      </c>
      <c r="F7" s="2">
        <v>450</v>
      </c>
      <c r="G7" s="2" t="s">
        <v>45</v>
      </c>
      <c r="H7" s="2" t="s">
        <v>240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251</v>
      </c>
      <c r="B8" s="2"/>
      <c r="C8" s="2" t="s">
        <v>42</v>
      </c>
      <c r="D8" s="2" t="s">
        <v>252</v>
      </c>
      <c r="E8" s="2" t="s">
        <v>44</v>
      </c>
      <c r="F8" s="2">
        <v>450</v>
      </c>
      <c r="G8" s="2" t="s">
        <v>45</v>
      </c>
      <c r="H8" s="2" t="s">
        <v>240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253</v>
      </c>
      <c r="B9" s="2"/>
      <c r="C9" s="2" t="s">
        <v>42</v>
      </c>
      <c r="D9" s="2" t="s">
        <v>254</v>
      </c>
      <c r="E9" s="2" t="s">
        <v>44</v>
      </c>
      <c r="F9" s="2">
        <v>450</v>
      </c>
      <c r="G9" s="2" t="s">
        <v>45</v>
      </c>
      <c r="H9" s="2" t="s">
        <v>240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255</v>
      </c>
      <c r="B10" s="2"/>
      <c r="C10" s="2" t="s">
        <v>62</v>
      </c>
      <c r="D10" s="2" t="s">
        <v>256</v>
      </c>
      <c r="E10" s="2" t="s">
        <v>44</v>
      </c>
      <c r="F10" s="2">
        <v>450</v>
      </c>
      <c r="G10" s="2" t="s">
        <v>45</v>
      </c>
      <c r="H10" s="2" t="s">
        <v>240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257</v>
      </c>
      <c r="B11" s="2"/>
      <c r="C11" s="2" t="s">
        <v>62</v>
      </c>
      <c r="D11" s="2" t="s">
        <v>258</v>
      </c>
      <c r="E11" s="2" t="s">
        <v>44</v>
      </c>
      <c r="F11" s="2">
        <v>450</v>
      </c>
      <c r="G11" s="2" t="s">
        <v>45</v>
      </c>
      <c r="H11" s="2" t="s">
        <v>240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259</v>
      </c>
      <c r="B12" s="2"/>
      <c r="C12" s="2" t="s">
        <v>62</v>
      </c>
      <c r="D12" s="2" t="s">
        <v>260</v>
      </c>
      <c r="E12" s="2" t="s">
        <v>44</v>
      </c>
      <c r="F12" s="2">
        <v>450</v>
      </c>
      <c r="G12" s="2" t="s">
        <v>45</v>
      </c>
      <c r="H12" s="2" t="s">
        <v>240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9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9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261</v>
      </c>
      <c r="B2" s="2"/>
      <c r="C2" s="2" t="s">
        <v>42</v>
      </c>
      <c r="D2" s="2" t="s">
        <v>262</v>
      </c>
      <c r="E2" s="2" t="s">
        <v>44</v>
      </c>
      <c r="F2" s="2">
        <v>450</v>
      </c>
      <c r="G2" s="2" t="s">
        <v>45</v>
      </c>
      <c r="H2" s="2" t="s">
        <v>263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264</v>
      </c>
      <c r="B3" s="2" t="s">
        <v>261</v>
      </c>
      <c r="C3" s="2" t="s">
        <v>42</v>
      </c>
      <c r="D3" s="2" t="s">
        <v>265</v>
      </c>
      <c r="E3" s="2" t="s">
        <v>44</v>
      </c>
      <c r="F3" s="2">
        <v>450</v>
      </c>
      <c r="G3" s="2" t="s">
        <v>266</v>
      </c>
      <c r="H3" s="2" t="s">
        <v>263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267</v>
      </c>
      <c r="B4" s="2"/>
      <c r="C4" s="2" t="s">
        <v>42</v>
      </c>
      <c r="D4" s="2" t="s">
        <v>268</v>
      </c>
      <c r="E4" s="2" t="s">
        <v>44</v>
      </c>
      <c r="F4" s="2">
        <v>450</v>
      </c>
      <c r="G4" s="2" t="s">
        <v>45</v>
      </c>
      <c r="H4" s="2" t="s">
        <v>263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269</v>
      </c>
      <c r="B5" s="2"/>
      <c r="C5" s="2" t="s">
        <v>42</v>
      </c>
      <c r="D5" s="2" t="s">
        <v>270</v>
      </c>
      <c r="E5" s="2" t="s">
        <v>44</v>
      </c>
      <c r="F5" s="2">
        <v>450</v>
      </c>
      <c r="G5" s="2" t="s">
        <v>45</v>
      </c>
      <c r="H5" s="2" t="s">
        <v>263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271</v>
      </c>
      <c r="B6" s="2"/>
      <c r="C6" s="2" t="s">
        <v>42</v>
      </c>
      <c r="D6" s="2" t="s">
        <v>272</v>
      </c>
      <c r="E6" s="2" t="s">
        <v>44</v>
      </c>
      <c r="F6" s="2">
        <v>450</v>
      </c>
      <c r="G6" s="2" t="s">
        <v>45</v>
      </c>
      <c r="H6" s="2" t="s">
        <v>263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273</v>
      </c>
      <c r="B7" s="2"/>
      <c r="C7" s="2" t="s">
        <v>42</v>
      </c>
      <c r="D7" s="2" t="s">
        <v>274</v>
      </c>
      <c r="E7" s="2" t="s">
        <v>44</v>
      </c>
      <c r="F7" s="2">
        <v>450</v>
      </c>
      <c r="G7" s="2" t="s">
        <v>45</v>
      </c>
      <c r="H7" s="2" t="s">
        <v>263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275</v>
      </c>
      <c r="B8" s="2"/>
      <c r="C8" s="2" t="s">
        <v>42</v>
      </c>
      <c r="D8" s="2" t="s">
        <v>276</v>
      </c>
      <c r="E8" s="2" t="s">
        <v>44</v>
      </c>
      <c r="F8" s="2">
        <v>450</v>
      </c>
      <c r="G8" s="2" t="s">
        <v>45</v>
      </c>
      <c r="H8" s="2" t="s">
        <v>263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277</v>
      </c>
      <c r="B9" s="2"/>
      <c r="C9" s="2" t="s">
        <v>42</v>
      </c>
      <c r="D9" s="2" t="s">
        <v>278</v>
      </c>
      <c r="E9" s="2" t="s">
        <v>44</v>
      </c>
      <c r="F9" s="2">
        <v>450</v>
      </c>
      <c r="G9" s="2" t="s">
        <v>45</v>
      </c>
      <c r="H9" s="2" t="s">
        <v>263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279</v>
      </c>
      <c r="B10" s="2"/>
      <c r="C10" s="2" t="s">
        <v>62</v>
      </c>
      <c r="D10" s="2" t="s">
        <v>280</v>
      </c>
      <c r="E10" s="2" t="s">
        <v>44</v>
      </c>
      <c r="F10" s="2">
        <v>450</v>
      </c>
      <c r="G10" s="2" t="s">
        <v>45</v>
      </c>
      <c r="H10" s="2" t="s">
        <v>263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281</v>
      </c>
      <c r="B11" s="2"/>
      <c r="C11" s="2" t="s">
        <v>62</v>
      </c>
      <c r="D11" s="2" t="s">
        <v>282</v>
      </c>
      <c r="E11" s="2" t="s">
        <v>44</v>
      </c>
      <c r="F11" s="2">
        <v>450</v>
      </c>
      <c r="G11" s="2" t="s">
        <v>45</v>
      </c>
      <c r="H11" s="2" t="s">
        <v>263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283</v>
      </c>
      <c r="B12" s="2"/>
      <c r="C12" s="2" t="s">
        <v>62</v>
      </c>
      <c r="D12" s="2" t="s">
        <v>284</v>
      </c>
      <c r="E12" s="2" t="s">
        <v>44</v>
      </c>
      <c r="F12" s="2">
        <v>450</v>
      </c>
      <c r="G12" s="2" t="s">
        <v>45</v>
      </c>
      <c r="H12" s="2" t="s">
        <v>263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A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A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285</v>
      </c>
      <c r="B2" s="2"/>
      <c r="C2" s="2" t="s">
        <v>42</v>
      </c>
      <c r="D2" s="2" t="s">
        <v>286</v>
      </c>
      <c r="E2" s="2" t="s">
        <v>287</v>
      </c>
      <c r="F2" s="2">
        <v>160</v>
      </c>
      <c r="G2" s="2" t="s">
        <v>45</v>
      </c>
      <c r="H2" s="2" t="s">
        <v>288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289</v>
      </c>
      <c r="B3" s="2" t="s">
        <v>285</v>
      </c>
      <c r="C3" s="2" t="s">
        <v>42</v>
      </c>
      <c r="D3" s="2" t="s">
        <v>290</v>
      </c>
      <c r="E3" s="2" t="s">
        <v>44</v>
      </c>
      <c r="F3" s="2">
        <v>450</v>
      </c>
      <c r="G3" s="2" t="s">
        <v>291</v>
      </c>
      <c r="H3" s="2" t="s">
        <v>288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292</v>
      </c>
      <c r="B4" s="2"/>
      <c r="C4" s="2" t="s">
        <v>42</v>
      </c>
      <c r="D4" s="2" t="s">
        <v>293</v>
      </c>
      <c r="E4" s="2" t="s">
        <v>44</v>
      </c>
      <c r="F4" s="2">
        <v>450</v>
      </c>
      <c r="G4" s="2" t="s">
        <v>45</v>
      </c>
      <c r="H4" s="2" t="s">
        <v>288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294</v>
      </c>
      <c r="B5" s="2"/>
      <c r="C5" s="2" t="s">
        <v>42</v>
      </c>
      <c r="D5" s="2" t="s">
        <v>295</v>
      </c>
      <c r="E5" s="2" t="s">
        <v>44</v>
      </c>
      <c r="F5" s="2">
        <v>450</v>
      </c>
      <c r="G5" s="2" t="s">
        <v>45</v>
      </c>
      <c r="H5" s="2" t="s">
        <v>288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296</v>
      </c>
      <c r="B6" s="2"/>
      <c r="C6" s="2" t="s">
        <v>42</v>
      </c>
      <c r="D6" s="2" t="s">
        <v>297</v>
      </c>
      <c r="E6" s="2" t="s">
        <v>44</v>
      </c>
      <c r="F6" s="2">
        <v>450</v>
      </c>
      <c r="G6" s="2" t="s">
        <v>45</v>
      </c>
      <c r="H6" s="2" t="s">
        <v>288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298</v>
      </c>
      <c r="B7" s="2"/>
      <c r="C7" s="2" t="s">
        <v>42</v>
      </c>
      <c r="D7" s="2" t="s">
        <v>299</v>
      </c>
      <c r="E7" s="2" t="s">
        <v>44</v>
      </c>
      <c r="F7" s="2">
        <v>450</v>
      </c>
      <c r="G7" s="2" t="s">
        <v>45</v>
      </c>
      <c r="H7" s="2" t="s">
        <v>288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300</v>
      </c>
      <c r="B8" s="2"/>
      <c r="C8" s="2" t="s">
        <v>42</v>
      </c>
      <c r="D8" s="2" t="s">
        <v>301</v>
      </c>
      <c r="E8" s="2" t="s">
        <v>44</v>
      </c>
      <c r="F8" s="2">
        <v>450</v>
      </c>
      <c r="G8" s="2" t="s">
        <v>45</v>
      </c>
      <c r="H8" s="2" t="s">
        <v>288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302</v>
      </c>
      <c r="B9" s="2"/>
      <c r="C9" s="2" t="s">
        <v>42</v>
      </c>
      <c r="D9" s="2" t="s">
        <v>303</v>
      </c>
      <c r="E9" s="2" t="s">
        <v>44</v>
      </c>
      <c r="F9" s="2">
        <v>450</v>
      </c>
      <c r="G9" s="2" t="s">
        <v>45</v>
      </c>
      <c r="H9" s="2" t="s">
        <v>288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304</v>
      </c>
      <c r="B10" s="2"/>
      <c r="C10" s="2" t="s">
        <v>62</v>
      </c>
      <c r="D10" s="2" t="s">
        <v>305</v>
      </c>
      <c r="E10" s="2" t="s">
        <v>44</v>
      </c>
      <c r="F10" s="2">
        <v>450</v>
      </c>
      <c r="G10" s="2" t="s">
        <v>45</v>
      </c>
      <c r="H10" s="2" t="s">
        <v>288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306</v>
      </c>
      <c r="B11" s="2"/>
      <c r="C11" s="2" t="s">
        <v>62</v>
      </c>
      <c r="D11" s="2" t="s">
        <v>307</v>
      </c>
      <c r="E11" s="2" t="s">
        <v>44</v>
      </c>
      <c r="F11" s="2">
        <v>450</v>
      </c>
      <c r="G11" s="2" t="s">
        <v>45</v>
      </c>
      <c r="H11" s="2" t="s">
        <v>288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308</v>
      </c>
      <c r="B12" s="2"/>
      <c r="C12" s="2" t="s">
        <v>62</v>
      </c>
      <c r="D12" s="2" t="s">
        <v>309</v>
      </c>
      <c r="E12" s="2" t="s">
        <v>44</v>
      </c>
      <c r="F12" s="2">
        <v>450</v>
      </c>
      <c r="G12" s="2" t="s">
        <v>45</v>
      </c>
      <c r="H12" s="2" t="s">
        <v>288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B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B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310</v>
      </c>
      <c r="B2" s="2"/>
      <c r="C2" s="2" t="s">
        <v>42</v>
      </c>
      <c r="D2" s="2" t="s">
        <v>311</v>
      </c>
      <c r="E2" s="2" t="s">
        <v>312</v>
      </c>
      <c r="F2" s="2">
        <v>450</v>
      </c>
      <c r="G2" s="2" t="s">
        <v>45</v>
      </c>
      <c r="H2" s="2" t="s">
        <v>313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314</v>
      </c>
      <c r="B3" s="2"/>
      <c r="C3" s="2" t="s">
        <v>42</v>
      </c>
      <c r="D3" s="2" t="s">
        <v>315</v>
      </c>
      <c r="E3" s="2" t="s">
        <v>44</v>
      </c>
      <c r="F3" s="2">
        <v>450</v>
      </c>
      <c r="G3" s="2" t="s">
        <v>45</v>
      </c>
      <c r="H3" s="2" t="s">
        <v>313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316</v>
      </c>
      <c r="B4" s="2"/>
      <c r="C4" s="2" t="s">
        <v>42</v>
      </c>
      <c r="D4" s="2" t="s">
        <v>317</v>
      </c>
      <c r="E4" s="2" t="s">
        <v>44</v>
      </c>
      <c r="F4" s="2">
        <v>450</v>
      </c>
      <c r="G4" s="2" t="s">
        <v>45</v>
      </c>
      <c r="H4" s="2" t="s">
        <v>313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318</v>
      </c>
      <c r="B5" s="2"/>
      <c r="C5" s="2" t="s">
        <v>42</v>
      </c>
      <c r="D5" s="2" t="s">
        <v>319</v>
      </c>
      <c r="E5" s="2" t="s">
        <v>320</v>
      </c>
      <c r="F5" s="2">
        <v>450</v>
      </c>
      <c r="G5" s="2" t="s">
        <v>45</v>
      </c>
      <c r="H5" s="2" t="s">
        <v>313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321</v>
      </c>
      <c r="B6" s="2"/>
      <c r="C6" s="2" t="s">
        <v>42</v>
      </c>
      <c r="D6" s="2" t="s">
        <v>322</v>
      </c>
      <c r="E6" s="2" t="s">
        <v>44</v>
      </c>
      <c r="F6" s="2">
        <v>450</v>
      </c>
      <c r="G6" s="2" t="s">
        <v>45</v>
      </c>
      <c r="H6" s="2" t="s">
        <v>313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323</v>
      </c>
      <c r="B7" s="2"/>
      <c r="C7" s="2" t="s">
        <v>42</v>
      </c>
      <c r="D7" s="2" t="s">
        <v>324</v>
      </c>
      <c r="E7" s="2" t="s">
        <v>44</v>
      </c>
      <c r="F7" s="2">
        <v>450</v>
      </c>
      <c r="G7" s="2" t="s">
        <v>45</v>
      </c>
      <c r="H7" s="2" t="s">
        <v>313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325</v>
      </c>
      <c r="B8" s="2"/>
      <c r="C8" s="2" t="s">
        <v>42</v>
      </c>
      <c r="D8" s="2" t="s">
        <v>326</v>
      </c>
      <c r="E8" s="2" t="s">
        <v>44</v>
      </c>
      <c r="F8" s="2">
        <v>450</v>
      </c>
      <c r="G8" s="2" t="s">
        <v>45</v>
      </c>
      <c r="H8" s="2" t="s">
        <v>313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327</v>
      </c>
      <c r="B9" s="2"/>
      <c r="C9" s="2" t="s">
        <v>42</v>
      </c>
      <c r="D9" s="2" t="s">
        <v>328</v>
      </c>
      <c r="E9" s="2" t="s">
        <v>44</v>
      </c>
      <c r="F9" s="2">
        <v>450</v>
      </c>
      <c r="G9" s="2" t="s">
        <v>45</v>
      </c>
      <c r="H9" s="2" t="s">
        <v>313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329</v>
      </c>
      <c r="B10" s="2"/>
      <c r="C10" s="2" t="s">
        <v>62</v>
      </c>
      <c r="D10" s="2" t="s">
        <v>330</v>
      </c>
      <c r="E10" s="2" t="s">
        <v>44</v>
      </c>
      <c r="F10" s="2">
        <v>450</v>
      </c>
      <c r="G10" s="2" t="s">
        <v>45</v>
      </c>
      <c r="H10" s="2" t="s">
        <v>313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331</v>
      </c>
      <c r="B11" s="2"/>
      <c r="C11" s="2" t="s">
        <v>62</v>
      </c>
      <c r="D11" s="2" t="s">
        <v>332</v>
      </c>
      <c r="E11" s="2" t="s">
        <v>44</v>
      </c>
      <c r="F11" s="2">
        <v>450</v>
      </c>
      <c r="G11" s="2" t="s">
        <v>45</v>
      </c>
      <c r="H11" s="2" t="s">
        <v>313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333</v>
      </c>
      <c r="B12" s="2"/>
      <c r="C12" s="2" t="s">
        <v>62</v>
      </c>
      <c r="D12" s="2" t="s">
        <v>334</v>
      </c>
      <c r="E12" s="2" t="s">
        <v>44</v>
      </c>
      <c r="F12" s="2">
        <v>450</v>
      </c>
      <c r="G12" s="2" t="s">
        <v>45</v>
      </c>
      <c r="H12" s="2" t="s">
        <v>313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C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C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C7"/>
  <sheetViews>
    <sheetView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42" customWidth="1"/>
    <col min="2" max="2" width="70" customWidth="1"/>
    <col min="3" max="3" width="80" customWidth="1"/>
  </cols>
  <sheetData>
    <row r="1" spans="1:3" ht="32.1" customHeight="1" x14ac:dyDescent="0.25">
      <c r="A1" s="1" t="s">
        <v>335</v>
      </c>
      <c r="B1" s="1" t="s">
        <v>1</v>
      </c>
      <c r="C1" s="1" t="s">
        <v>336</v>
      </c>
    </row>
    <row r="2" spans="1:3" ht="42" customHeight="1" x14ac:dyDescent="0.25">
      <c r="A2" s="2" t="s">
        <v>337</v>
      </c>
      <c r="B2" s="4">
        <v>5</v>
      </c>
      <c r="C2" s="2" t="s">
        <v>338</v>
      </c>
    </row>
    <row r="3" spans="1:3" ht="42" customHeight="1" x14ac:dyDescent="0.25">
      <c r="A3" s="2" t="s">
        <v>339</v>
      </c>
      <c r="B3" s="4">
        <v>12</v>
      </c>
      <c r="C3" s="2" t="s">
        <v>340</v>
      </c>
    </row>
    <row r="4" spans="1:3" ht="42" customHeight="1" x14ac:dyDescent="0.25">
      <c r="A4" s="2" t="s">
        <v>341</v>
      </c>
      <c r="B4" s="2" t="s">
        <v>342</v>
      </c>
      <c r="C4" s="2" t="s">
        <v>343</v>
      </c>
    </row>
    <row r="5" spans="1:3" ht="42" customHeight="1" x14ac:dyDescent="0.25">
      <c r="A5" s="2" t="s">
        <v>344</v>
      </c>
      <c r="B5" s="4">
        <v>12</v>
      </c>
      <c r="C5" s="2" t="s">
        <v>345</v>
      </c>
    </row>
    <row r="6" spans="1:3" ht="42" customHeight="1" x14ac:dyDescent="0.25">
      <c r="A6" s="2" t="s">
        <v>346</v>
      </c>
      <c r="B6" s="4">
        <v>240</v>
      </c>
      <c r="C6" s="2" t="s">
        <v>340</v>
      </c>
    </row>
    <row r="7" spans="1:3" ht="42" customHeight="1" x14ac:dyDescent="0.25">
      <c r="A7" s="2" t="s">
        <v>347</v>
      </c>
      <c r="B7" s="2" t="s">
        <v>348</v>
      </c>
      <c r="C7" s="2" t="s">
        <v>349</v>
      </c>
    </row>
  </sheetData>
  <autoFilter ref="A1:C7" xr:uid="{00000000-0009-0000-0000-00000D000000}"/>
  <pageMargins left="0.75" right="0.75" top="1" bottom="1" header="0.5" footer="0.5"/>
  <pageSetup paperSize="8"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L11"/>
  <sheetViews>
    <sheetView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2" customWidth="1"/>
    <col min="2" max="2" width="12" customWidth="1"/>
    <col min="3" max="3" width="18" customWidth="1"/>
    <col min="4" max="4" width="14" customWidth="1"/>
    <col min="5" max="6" width="18" customWidth="1"/>
    <col min="7" max="7" width="23" customWidth="1"/>
    <col min="8" max="8" width="65" customWidth="1"/>
    <col min="9" max="9" width="14" customWidth="1"/>
    <col min="10" max="11" width="18" customWidth="1"/>
    <col min="12" max="12" width="70" customWidth="1"/>
  </cols>
  <sheetData>
    <row r="1" spans="1:12" ht="32.1" customHeight="1" x14ac:dyDescent="0.25">
      <c r="A1" s="1" t="s">
        <v>350</v>
      </c>
      <c r="B1" s="1" t="s">
        <v>351</v>
      </c>
      <c r="C1" s="1" t="s">
        <v>352</v>
      </c>
      <c r="D1" s="1" t="s">
        <v>353</v>
      </c>
      <c r="E1" s="1" t="s">
        <v>354</v>
      </c>
      <c r="F1" s="1" t="s">
        <v>355</v>
      </c>
      <c r="G1" s="1" t="s">
        <v>356</v>
      </c>
      <c r="H1" s="1" t="s">
        <v>357</v>
      </c>
      <c r="I1" s="1" t="s">
        <v>358</v>
      </c>
      <c r="J1" s="1" t="s">
        <v>359</v>
      </c>
      <c r="K1" s="1" t="s">
        <v>360</v>
      </c>
      <c r="L1" s="1" t="s">
        <v>38</v>
      </c>
    </row>
    <row r="2" spans="1:12" ht="42" customHeight="1" x14ac:dyDescent="0.25">
      <c r="A2" s="4" t="s">
        <v>361</v>
      </c>
      <c r="B2" s="4">
        <v>24</v>
      </c>
      <c r="C2" s="5"/>
      <c r="D2" s="6"/>
      <c r="E2" s="4">
        <v>1</v>
      </c>
      <c r="F2" s="4" t="s">
        <v>362</v>
      </c>
      <c r="G2" s="7" t="str">
        <f>IF(COUNT(B2,C2,E2)=3,ROUND(B2*ROUND(C2,2)*E2*IF(F2="Monthly",Assumptions!$B$3,1),2),"")</f>
        <v/>
      </c>
      <c r="H2" s="6"/>
      <c r="I2" s="8"/>
      <c r="J2" s="9" t="str">
        <f t="shared" ref="J2:J11" si="0">IF(COUNT(G2,I2)=2,ROUND(G2*I2,2),"")</f>
        <v/>
      </c>
      <c r="K2" s="9" t="str">
        <f t="shared" ref="K2:K11" si="1">IF(COUNT(G2,J2)=2,G2+J2,"")</f>
        <v/>
      </c>
      <c r="L2" s="6"/>
    </row>
    <row r="3" spans="1:12" ht="42" customHeight="1" x14ac:dyDescent="0.25">
      <c r="A3" s="4" t="s">
        <v>363</v>
      </c>
      <c r="B3" s="4">
        <v>48</v>
      </c>
      <c r="C3" s="5"/>
      <c r="D3" s="6"/>
      <c r="E3" s="4">
        <v>1</v>
      </c>
      <c r="F3" s="4" t="s">
        <v>362</v>
      </c>
      <c r="G3" s="7" t="str">
        <f>IF(COUNT(B3,C3,E3)=3,ROUND(B3*ROUND(C3,2)*E3*IF(F3="Monthly",Assumptions!$B$3,1),2),"")</f>
        <v/>
      </c>
      <c r="H3" s="6"/>
      <c r="I3" s="8"/>
      <c r="J3" s="9" t="str">
        <f t="shared" si="0"/>
        <v/>
      </c>
      <c r="K3" s="9" t="str">
        <f t="shared" si="1"/>
        <v/>
      </c>
      <c r="L3" s="6"/>
    </row>
    <row r="4" spans="1:12" ht="42" customHeight="1" x14ac:dyDescent="0.25">
      <c r="A4" s="4" t="s">
        <v>364</v>
      </c>
      <c r="B4" s="4">
        <v>48</v>
      </c>
      <c r="C4" s="5"/>
      <c r="D4" s="6"/>
      <c r="E4" s="4">
        <v>1</v>
      </c>
      <c r="F4" s="4" t="s">
        <v>362</v>
      </c>
      <c r="G4" s="7" t="str">
        <f>IF(COUNT(B4,C4,E4)=3,ROUND(B4*ROUND(C4,2)*E4*IF(F4="Monthly",Assumptions!$B$3,1),2),"")</f>
        <v/>
      </c>
      <c r="H4" s="6"/>
      <c r="I4" s="8"/>
      <c r="J4" s="9" t="str">
        <f t="shared" si="0"/>
        <v/>
      </c>
      <c r="K4" s="9" t="str">
        <f t="shared" si="1"/>
        <v/>
      </c>
      <c r="L4" s="6"/>
    </row>
    <row r="5" spans="1:12" ht="42" customHeight="1" x14ac:dyDescent="0.25">
      <c r="A5" s="4" t="s">
        <v>365</v>
      </c>
      <c r="B5" s="4">
        <v>12</v>
      </c>
      <c r="C5" s="5"/>
      <c r="D5" s="6"/>
      <c r="E5" s="4">
        <v>1</v>
      </c>
      <c r="F5" s="4" t="s">
        <v>362</v>
      </c>
      <c r="G5" s="7" t="str">
        <f>IF(COUNT(B5,C5,E5)=3,ROUND(B5*ROUND(C5,2)*E5*IF(F5="Monthly",Assumptions!$B$3,1),2),"")</f>
        <v/>
      </c>
      <c r="H5" s="6"/>
      <c r="I5" s="8"/>
      <c r="J5" s="9" t="str">
        <f t="shared" si="0"/>
        <v/>
      </c>
      <c r="K5" s="9" t="str">
        <f t="shared" si="1"/>
        <v/>
      </c>
      <c r="L5" s="6"/>
    </row>
    <row r="6" spans="1:12" ht="42" customHeight="1" x14ac:dyDescent="0.25">
      <c r="A6" s="4" t="s">
        <v>366</v>
      </c>
      <c r="B6" s="4">
        <v>24</v>
      </c>
      <c r="C6" s="5"/>
      <c r="D6" s="6"/>
      <c r="E6" s="4">
        <v>1</v>
      </c>
      <c r="F6" s="4" t="s">
        <v>362</v>
      </c>
      <c r="G6" s="7" t="str">
        <f>IF(COUNT(B6,C6,E6)=3,ROUND(B6*ROUND(C6,2)*E6*IF(F6="Monthly",Assumptions!$B$3,1),2),"")</f>
        <v/>
      </c>
      <c r="H6" s="6"/>
      <c r="I6" s="8"/>
      <c r="J6" s="9" t="str">
        <f t="shared" si="0"/>
        <v/>
      </c>
      <c r="K6" s="9" t="str">
        <f t="shared" si="1"/>
        <v/>
      </c>
      <c r="L6" s="6"/>
    </row>
    <row r="7" spans="1:12" ht="42" customHeight="1" x14ac:dyDescent="0.25">
      <c r="A7" s="4" t="s">
        <v>367</v>
      </c>
      <c r="B7" s="4">
        <v>1</v>
      </c>
      <c r="C7" s="5"/>
      <c r="D7" s="6"/>
      <c r="E7" s="4">
        <v>1</v>
      </c>
      <c r="F7" s="4" t="s">
        <v>362</v>
      </c>
      <c r="G7" s="7" t="str">
        <f>IF(COUNT(B7,C7,E7)=3,ROUND(B7*ROUND(C7,2)*E7*IF(F7="Monthly",Assumptions!$B$3,1),2),"")</f>
        <v/>
      </c>
      <c r="H7" s="6"/>
      <c r="I7" s="8"/>
      <c r="J7" s="9" t="str">
        <f t="shared" si="0"/>
        <v/>
      </c>
      <c r="K7" s="9" t="str">
        <f t="shared" si="1"/>
        <v/>
      </c>
      <c r="L7" s="6"/>
    </row>
    <row r="8" spans="1:12" ht="42" customHeight="1" x14ac:dyDescent="0.25">
      <c r="A8" s="4" t="s">
        <v>368</v>
      </c>
      <c r="B8" s="4">
        <v>24</v>
      </c>
      <c r="C8" s="5"/>
      <c r="D8" s="6"/>
      <c r="E8" s="4">
        <v>1</v>
      </c>
      <c r="F8" s="4" t="s">
        <v>362</v>
      </c>
      <c r="G8" s="7" t="str">
        <f>IF(COUNT(B8,C8,E8)=3,ROUND(B8*ROUND(C8,2)*E8*IF(F8="Monthly",Assumptions!$B$3,1),2),"")</f>
        <v/>
      </c>
      <c r="H8" s="6"/>
      <c r="I8" s="8"/>
      <c r="J8" s="9" t="str">
        <f t="shared" si="0"/>
        <v/>
      </c>
      <c r="K8" s="9" t="str">
        <f t="shared" si="1"/>
        <v/>
      </c>
      <c r="L8" s="6"/>
    </row>
    <row r="9" spans="1:12" ht="42" customHeight="1" x14ac:dyDescent="0.25">
      <c r="A9" s="4" t="s">
        <v>369</v>
      </c>
      <c r="B9" s="10">
        <f>Assumptions!B5</f>
        <v>12</v>
      </c>
      <c r="C9" s="11">
        <f>Assumptions!B6</f>
        <v>240</v>
      </c>
      <c r="D9" s="6" t="s">
        <v>342</v>
      </c>
      <c r="E9" s="10">
        <f>Assumptions!B2</f>
        <v>5</v>
      </c>
      <c r="F9" s="4" t="s">
        <v>370</v>
      </c>
      <c r="G9" s="7">
        <f>IF(COUNT(B9,C9,E9)=3,ROUND(B9*ROUND(C9,2)*E9*IF(F9="Monthly",Assumptions!$B$3,1),2),"")</f>
        <v>172800</v>
      </c>
      <c r="H9" s="6" t="s">
        <v>371</v>
      </c>
      <c r="I9" s="8"/>
      <c r="J9" s="9" t="str">
        <f t="shared" si="0"/>
        <v/>
      </c>
      <c r="K9" s="9" t="str">
        <f t="shared" si="1"/>
        <v/>
      </c>
      <c r="L9" s="6"/>
    </row>
    <row r="10" spans="1:12" ht="42" customHeight="1" x14ac:dyDescent="0.25">
      <c r="A10" s="4" t="s">
        <v>372</v>
      </c>
      <c r="B10" s="4">
        <v>24</v>
      </c>
      <c r="C10" s="5"/>
      <c r="D10" s="6"/>
      <c r="E10" s="4">
        <v>2</v>
      </c>
      <c r="F10" s="4" t="s">
        <v>373</v>
      </c>
      <c r="G10" s="7" t="str">
        <f>IF(COUNT(B10,C10,E10)=3,ROUND(B10*ROUND(C10,2)*E10*IF(F10="Monthly",Assumptions!$B$3,1),2),"")</f>
        <v/>
      </c>
      <c r="H10" s="6"/>
      <c r="I10" s="8"/>
      <c r="J10" s="9" t="str">
        <f t="shared" si="0"/>
        <v/>
      </c>
      <c r="K10" s="9" t="str">
        <f t="shared" si="1"/>
        <v/>
      </c>
      <c r="L10" s="6"/>
    </row>
    <row r="11" spans="1:12" ht="42" customHeight="1" x14ac:dyDescent="0.25">
      <c r="A11" s="4" t="s">
        <v>374</v>
      </c>
      <c r="B11" s="4">
        <v>1</v>
      </c>
      <c r="C11" s="5"/>
      <c r="D11" s="6"/>
      <c r="E11" s="4">
        <v>1</v>
      </c>
      <c r="F11" s="4" t="s">
        <v>362</v>
      </c>
      <c r="G11" s="7" t="str">
        <f>IF(COUNT(B11,C11,E11)=3,ROUND(B11*ROUND(C11,2)*E11*IF(F11="Monthly",Assumptions!$B$3,1),2),"")</f>
        <v/>
      </c>
      <c r="H11" s="6"/>
      <c r="I11" s="8"/>
      <c r="J11" s="9" t="str">
        <f t="shared" si="0"/>
        <v/>
      </c>
      <c r="K11" s="9" t="str">
        <f t="shared" si="1"/>
        <v/>
      </c>
      <c r="L11" s="6"/>
    </row>
  </sheetData>
  <autoFilter ref="A1:L11" xr:uid="{00000000-0009-0000-0000-00000E000000}"/>
  <pageMargins left="0.75" right="0.75" top="1" bottom="1" header="0.5" footer="0.5"/>
  <pageSetup paperSize="8" fitToHeight="0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C7"/>
  <sheetViews>
    <sheetView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6" customWidth="1"/>
    <col min="2" max="2" width="25" customWidth="1"/>
    <col min="3" max="3" width="110" customWidth="1"/>
  </cols>
  <sheetData>
    <row r="1" spans="1:3" ht="32.1" customHeight="1" x14ac:dyDescent="0.25">
      <c r="A1" s="1" t="s">
        <v>375</v>
      </c>
      <c r="B1" s="1" t="s">
        <v>1</v>
      </c>
      <c r="C1" s="1" t="s">
        <v>376</v>
      </c>
    </row>
    <row r="2" spans="1:3" ht="42" customHeight="1" x14ac:dyDescent="0.25">
      <c r="A2" s="2" t="s">
        <v>377</v>
      </c>
      <c r="B2" s="2" t="str">
        <f>Assumptions!B4</f>
        <v>USD</v>
      </c>
      <c r="C2" s="2" t="s">
        <v>378</v>
      </c>
    </row>
    <row r="3" spans="1:3" ht="42" customHeight="1" x14ac:dyDescent="0.25">
      <c r="A3" s="2" t="s">
        <v>379</v>
      </c>
      <c r="B3" s="12">
        <f>SUMIF(Pricing!D2:D11,Assumptions!B4,Pricing!G2:G11)</f>
        <v>172800</v>
      </c>
      <c r="C3" s="2" t="s">
        <v>380</v>
      </c>
    </row>
    <row r="4" spans="1:3" ht="42" customHeight="1" x14ac:dyDescent="0.25">
      <c r="A4" s="2" t="s">
        <v>381</v>
      </c>
      <c r="B4" s="12" t="str">
        <f>IF(AND(COUNT(Pricing!G2:G11)=10,COUNTIF(Pricing!D2:D11,Assumptions!B4)=10),SUM(Pricing!G2:G11),"")</f>
        <v/>
      </c>
      <c r="C4" s="2" t="s">
        <v>382</v>
      </c>
    </row>
    <row r="5" spans="1:3" ht="42" customHeight="1" x14ac:dyDescent="0.25">
      <c r="A5" s="2" t="s">
        <v>383</v>
      </c>
      <c r="B5" s="12" t="str">
        <f>IF(AND(COUNT(Pricing!K2:K11)=10,COUNTIF(Pricing!D2:D11,Assumptions!B4)=10),SUM(Pricing!K2:K11),"")</f>
        <v/>
      </c>
      <c r="C5" s="2" t="s">
        <v>384</v>
      </c>
    </row>
    <row r="6" spans="1:3" ht="42" customHeight="1" x14ac:dyDescent="0.25">
      <c r="A6" s="2" t="s">
        <v>385</v>
      </c>
      <c r="B6" s="2" t="str">
        <f>IF(AND(COUNT(Pricing!G2:G11)=10,COUNTIF(Pricing!D2:D11,Assumptions!B4)=10),"COMPLETE","PARTIAL")</f>
        <v>PARTIAL</v>
      </c>
      <c r="C6" s="2" t="s">
        <v>386</v>
      </c>
    </row>
    <row r="7" spans="1:3" ht="42" customHeight="1" x14ac:dyDescent="0.25">
      <c r="A7" s="2" t="s">
        <v>387</v>
      </c>
      <c r="B7" s="2" t="str">
        <f>IF(AND(COUNT(Pricing!K2:K11)=10,COUNTIF(Pricing!D2:D11,Assumptions!B4)=10),"COMPLETE","PARTIAL")</f>
        <v>PARTIAL</v>
      </c>
      <c r="C7" s="2" t="s">
        <v>388</v>
      </c>
    </row>
  </sheetData>
  <autoFilter ref="A1:C7" xr:uid="{00000000-0009-0000-0000-00000F000000}"/>
  <pageMargins left="0.75" right="0.75" top="1" bottom="1" header="0.5" footer="0.5"/>
  <pageSetup paperSize="8" fitToHeight="0" orientation="landscape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16</vt:i4>
      </vt:variant>
      <vt:variant>
        <vt:lpstr>Benannte Bereiche</vt:lpstr>
      </vt:variant>
      <vt:variant>
        <vt:i4>16</vt:i4>
      </vt:variant>
    </vt:vector>
  </HeadingPairs>
  <TitlesOfParts>
    <vt:vector size="32" baseType="lpstr">
      <vt:lpstr>Run</vt:lpstr>
      <vt:lpstr>QUAL</vt:lpstr>
      <vt:lpstr>ARCH</vt:lpstr>
      <vt:lpstr>NET</vt:lpstr>
      <vt:lpstr>SEC</vt:lpstr>
      <vt:lpstr>DATA</vt:lpstr>
      <vt:lpstr>EVID</vt:lpstr>
      <vt:lpstr>OPS</vt:lpstr>
      <vt:lpstr>SUPPORT</vt:lpstr>
      <vt:lpstr>IMPL</vt:lpstr>
      <vt:lpstr>SUPPLY</vt:lpstr>
      <vt:lpstr>LEGAL</vt:lpstr>
      <vt:lpstr>COMM</vt:lpstr>
      <vt:lpstr>Assumptions</vt:lpstr>
      <vt:lpstr>Pricing</vt:lpstr>
      <vt:lpstr>TCO</vt:lpstr>
      <vt:lpstr>ARCH!Drucktitel</vt:lpstr>
      <vt:lpstr>Assumptions!Drucktitel</vt:lpstr>
      <vt:lpstr>COMM!Drucktitel</vt:lpstr>
      <vt:lpstr>DATA!Drucktitel</vt:lpstr>
      <vt:lpstr>EVID!Drucktitel</vt:lpstr>
      <vt:lpstr>IMPL!Drucktitel</vt:lpstr>
      <vt:lpstr>LEGAL!Drucktitel</vt:lpstr>
      <vt:lpstr>NET!Drucktitel</vt:lpstr>
      <vt:lpstr>OPS!Drucktitel</vt:lpstr>
      <vt:lpstr>Pricing!Drucktitel</vt:lpstr>
      <vt:lpstr>QUAL!Drucktitel</vt:lpstr>
      <vt:lpstr>Run!Drucktitel</vt:lpstr>
      <vt:lpstr>SEC!Drucktitel</vt:lpstr>
      <vt:lpstr>SUPPLY!Drucktitel</vt:lpstr>
      <vt:lpstr>SUPPORT!Drucktitel</vt:lpstr>
      <vt:lpstr>TCO!Drucktitel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Contoso Demo</dc:creator>
  <cp:lastModifiedBy>Contoso Demo</cp:lastModifiedBy>
  <dcterms:created xsi:type="dcterms:W3CDTF">2026-10-13T08:00:00Z</dcterms:created>
  <dcterms:modified xsi:type="dcterms:W3CDTF">2026-10-13T08:00:00Z</dcterms:modified>
</cp:coreProperties>
</file>