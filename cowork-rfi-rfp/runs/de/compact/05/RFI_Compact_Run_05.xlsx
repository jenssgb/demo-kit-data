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de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<sst xmlns="http://schemas.openxmlformats.org/spreadsheetml/2006/main" count="478" uniqueCount="180">
  <si>
    <t>Feld</t>
  </si>
  <si>
    <t>Wert</t>
  </si>
  <si>
    <t>Lauf-ID</t>
  </si>
  <si>
    <t>MASTER</t>
  </si>
  <si>
    <t>Sprache</t>
  </si>
  <si>
    <t>de</t>
  </si>
  <si>
    <t>Variante</t>
  </si>
  <si>
    <t>compact</t>
  </si>
  <si>
    <t>Anforderungszahl</t>
  </si>
  <si>
    <t>Ergebnisordner</t>
  </si>
  <si>
    <t>MASTER - DO NOT EDIT</t>
  </si>
  <si>
    <t>Vertragsversion</t>
  </si>
  <si>
    <t>2026.10.13-v1</t>
  </si>
  <si>
    <t>Zustand</t>
  </si>
  <si>
    <t>NEW</t>
  </si>
  <si>
    <t>Live zu prüfender Kunde</t>
  </si>
  <si>
    <t>Woodgrove Bank</t>
  </si>
  <si>
    <t>Hinweis</t>
  </si>
  <si>
    <t>FIKTIVE DEMO. Nur frischen Lauf verwenden; Master nie bearbeiten. Kein Save quote, Versand oder Auftrag.</t>
  </si>
  <si>
    <t>Bearbeitungsvertrag</t>
  </si>
  <si>
    <t>Nur I:P der Fragenblätter, vorgesehene Preiseingaben und Run B8 bearbeiten. IDs, Fragen, Formate und Formeln erhalten.</t>
  </si>
  <si>
    <t>Abschluss</t>
  </si>
  <si>
    <t>Jede Frage braucht belegte Antwort oder erklärtes OPEN/BLOCKED/GAP/REVIEW. N/A benötigt belegte Bedingung. Nur DRAFT.</t>
  </si>
  <si>
    <t>ID</t>
  </si>
  <si>
    <t>Hauptfrage</t>
  </si>
  <si>
    <t>Priorität</t>
  </si>
  <si>
    <t>Anforderung</t>
  </si>
  <si>
    <t>Format</t>
  </si>
  <si>
    <t>Max. Zeichen</t>
  </si>
  <si>
    <t>Gilt wenn</t>
  </si>
  <si>
    <t>Nachweis nötig</t>
  </si>
  <si>
    <t>Antwort</t>
  </si>
  <si>
    <t>Status</t>
  </si>
  <si>
    <t>Quellen-ID</t>
  </si>
  <si>
    <t>Version</t>
  </si>
  <si>
    <t>Abschnitt</t>
  </si>
  <si>
    <t>Cloud-Link</t>
  </si>
  <si>
    <t>Offener Punkt</t>
  </si>
  <si>
    <t>Prüfung</t>
  </si>
  <si>
    <t>Zeichen</t>
  </si>
  <si>
    <t>Limitprüfung</t>
  </si>
  <si>
    <t>QUAL-01</t>
  </si>
  <si>
    <t>MUST</t>
  </si>
  <si>
    <t>Benenne die anbietende Rechtseinheit, den Leistungsumfang und die abgedeckten Länder; trenne Unterauftragnehmer von Contoso.</t>
  </si>
  <si>
    <t>Kurzer Text; Nachweis in Quellenspalten</t>
  </si>
  <si>
    <t>Immer</t>
  </si>
  <si>
    <t>Freigegebener KB-QUAL-Abschnitt und tatsächlicher Link; geforderter externer Test/Zertifikat</t>
  </si>
  <si>
    <t>QUAL-02</t>
  </si>
  <si>
    <t>Lege geprüfte Abschlüsse der letzten drei Jahre vor und erkläre fehlende Jahre.</t>
  </si>
  <si>
    <t>ARCH-01</t>
  </si>
  <si>
    <t>Entwirf für zwölf Standorte ein segmentiertes Netz mit Mitarbeiter-, Gast-, Zahlungs- und Managementzonen und Vertrauensgrenzen.</t>
  </si>
  <si>
    <t>Freigegebener KB-ARCH-Abschnitt und tatsächlicher Link; geforderter externer Test/Zertifikat</t>
  </si>
  <si>
    <t>ARCH-02</t>
  </si>
  <si>
    <t>Erkläre die Einbindung bestehender Identitäts-, DNS-, Monitoring- und Incident-Systeme ohne unbelegte Connectoren.</t>
  </si>
  <si>
    <t>NET-01</t>
  </si>
  <si>
    <t>Bestätige 10G-Uplinks an jedem angebotenen Access-Switch; gleiche CMS-48P-POE mit der belegten Uplink-Fähigkeit ab.</t>
  </si>
  <si>
    <t>Freigegebener KB-NET-Abschnitt und tatsächlicher Link; geforderter externer Test/Zertifikat</t>
  </si>
  <si>
    <t>NET-02</t>
  </si>
  <si>
    <t>Belege das PoE-Budget für 32 Access Points je Standort mit je 30 W und erkläre nötige zusätzliche Switches.</t>
  </si>
  <si>
    <t>Watt, Reserve und Planungsabweichung</t>
  </si>
  <si>
    <t>SEC-01</t>
  </si>
  <si>
    <t>Unterstützt die Managementkonsole SAML-2.0-SSO und bankgesteuerte MFA? Benenne die unterstützte Grenze.</t>
  </si>
  <si>
    <t>Ja/Nein/Teilweise + Umfang</t>
  </si>
  <si>
    <t>Freigegebener KB-SEC-Abschnitt und tatsächlicher Link; geforderter externer Test/Zertifikat</t>
  </si>
  <si>
    <t>SEC-02</t>
  </si>
  <si>
    <t>Falls SSO unterstützt wird, belege SCIM-Deprovisionierung binnen fünf Minuten einschließlich Messung.</t>
  </si>
  <si>
    <t>Ja/Nein/Teilweise + gemessene Minuten</t>
  </si>
  <si>
    <t>Wenn SSO unterstützt wird</t>
  </si>
  <si>
    <t>DATA-01</t>
  </si>
  <si>
    <t>Können Managementtelemetrie und Sicherungen ausschließlich in der EU bleiben, ohne administrativen Zugriff außerhalb der EU?</t>
  </si>
  <si>
    <t>Ja/Nein/Teilweise + Orte</t>
  </si>
  <si>
    <t>Freigegebener KB-DATA-Abschnitt und tatsächlicher Link; geforderter externer Test/Zertifikat</t>
  </si>
  <si>
    <t>DATA-02</t>
  </si>
  <si>
    <t>Falls Verarbeitung außerhalb der EU nötig ist, benenne Länder, Unterauftragnehmer, Transfermaßnahmen und fehlende Freigaben.</t>
  </si>
  <si>
    <t>Wenn Verarbeitung nicht ausschließlich in der EU erfolgt</t>
  </si>
  <si>
    <t>DATA-04</t>
  </si>
  <si>
    <t>Lege die unterzeichnete Auftragsverarbeitungsvereinbarung dieser Bank statt einer unsignierten Vorlage vor.</t>
  </si>
  <si>
    <t>EVID-01</t>
  </si>
  <si>
    <t>Ist der gesamte vorgeschlagene Service aktuell ISO-27001-zertifiziert? Liefere Nachweise statt Selbsteinschätzung.</t>
  </si>
  <si>
    <t>Ja/Nein/Ungeprüft + Nachweis</t>
  </si>
  <si>
    <t>Freigegebener KB-EVID-Abschnitt und tatsächlicher Link; geforderter externer Test/Zertifikat</t>
  </si>
  <si>
    <t>EVID-02</t>
  </si>
  <si>
    <t>Falls zertifiziert, benenne Aussteller, Geltungsbereich, Nummer und Ablauf und ordne alle Ausnahmen diesem Service zu.</t>
  </si>
  <si>
    <t>Aussteller, Umfang, Nummer, Ablauf oder offene Abhängigkeit</t>
  </si>
  <si>
    <t>Wenn Zertifizierung bestätigt; unbekannte Hauptfrage bleibt offen</t>
  </si>
  <si>
    <t>EVID-08</t>
  </si>
  <si>
    <t>Erkläre das Erkennen und Ausschließen überholter Dokumente aus aktuellen Zusagen.</t>
  </si>
  <si>
    <t>OPS-01</t>
  </si>
  <si>
    <t>Sage 99,95 % Verfügbarkeit rund um die Uhr zu; gleiche abweichende SLA-Versionen der Wissensbasis ab.</t>
  </si>
  <si>
    <t>Freigegebener KB-OPS-Abschnitt und tatsächlicher Link; geforderter externer Test/Zertifikat</t>
  </si>
  <si>
    <t>OPS-02</t>
  </si>
  <si>
    <t>Erkläre Bezugszeitraum, Wartungsausnahmen und maximale Servicegutschriften des aktuellen SLA.</t>
  </si>
  <si>
    <t>SUPPORT-01</t>
  </si>
  <si>
    <t>Deckt dreijährige Next-Business-Day-Hardwarebetreuung die gesamten fünf Jahre? Benenne die Nachweislücke für Verlängerungen.</t>
  </si>
  <si>
    <t>Freigegebener KB-SUPPORT-Abschnitt und tatsächlicher Link; geforderter externer Test/Zertifikat</t>
  </si>
  <si>
    <t>SUPPORT-02</t>
  </si>
  <si>
    <t>Definiere Geschäftstagsfristen, Ersatzlogistik und Gebietsausnahmen ohne Vierstundenersatz zu versprechen.</t>
  </si>
  <si>
    <t>IMPL-01</t>
  </si>
  <si>
    <t>Liefere zwölf Standorte in sechs Wochen; gib einen gestuften Plan und Bedingungen statt einer unbelegten Terminzusage.</t>
  </si>
  <si>
    <t>Freigegebener KB-IMPL-Abschnitt und tatsächlicher Link; geforderter externer Test/Zertifikat</t>
  </si>
  <si>
    <t>IMPL-02</t>
  </si>
  <si>
    <t>Definiere objektive Abnahmetests für Segmentierung, Failover und Durchsatz samt Unterschrift.</t>
  </si>
  <si>
    <t>SUPPLY-01</t>
  </si>
  <si>
    <t>Die Stückliste fordert 48 CAP-6E; prüfe den Lebenszyklus und schlage CAP-7 nur als offengelegte Alternative vor.</t>
  </si>
  <si>
    <t>Freigegebener KB-SUPPLY-Abschnitt und tatsächlicher Link; geforderter externer Test/Zertifikat</t>
  </si>
  <si>
    <t>SUPPLY-02</t>
  </si>
  <si>
    <t>Bei unzureichendem Bestand zeige datierte Zuteilungs- und Lieferoptionen ohne Reservierung oder Garantie.</t>
  </si>
  <si>
    <t>Wenn angeforderte oder vorgeschlagene Position zu wenig Bestand hat</t>
  </si>
  <si>
    <t>LEGAL-01</t>
  </si>
  <si>
    <t>Akzeptiere unbegrenzte Haftung einschließlich Folgeschäden oder erfasse ausdrücklich eine Vertragsausnahme.</t>
  </si>
  <si>
    <t>Akzeptiert/Ausnahme + Begründung</t>
  </si>
  <si>
    <t>Freigegebener KB-LEGAL-Abschnitt und tatsächlicher Link; geforderter externer Test/Zertifikat</t>
  </si>
  <si>
    <t>LEGAL-02</t>
  </si>
  <si>
    <t>Falls unbegrenzte Haftung nicht akzeptiert wird, nenne die freigegebene Gegenposition und nötige Rechtsprüfung.</t>
  </si>
  <si>
    <t>Wenn unbegrenzte Haftung nicht akzeptiert wird</t>
  </si>
  <si>
    <t>COMM-01</t>
  </si>
  <si>
    <t>Lege Fünfjahres-TCO in geprüfter Kundenwährung vor; trenne Hardware, Einführung, Betrieb und Betreuungsverlängerung.</t>
  </si>
  <si>
    <t>Betrag/Währung oder INCOMPLETE; Kalkulationsverweise</t>
  </si>
  <si>
    <t>Freigegebener KB-COMM-Abschnitt und tatsächlicher Link; geforderter externer Test/Zertifikat</t>
  </si>
  <si>
    <t>COMM-02</t>
  </si>
  <si>
    <t>Benenne Verlängerungsannahmen für Jahre vier und fünf und markiere TCO ohne freigegebenen Preis als unvollständig.</t>
  </si>
  <si>
    <t>COMM-03</t>
  </si>
  <si>
    <t>Zeige kundenspezifische Nettopreise, Mengen, Rabatte und Quellenzeitpunkte aus der ungespeicherten Atlas-Vorschau.</t>
  </si>
  <si>
    <t>COMM-04</t>
  </si>
  <si>
    <t>Gleiche Positionsrundung, Zwischensumme, Steuer und Gesamtbetrag mit der Vorschau statt EUR-Listenpreisumrechnung ab.</t>
  </si>
  <si>
    <t>Abgleich je Position; Betrag/Währung</t>
  </si>
  <si>
    <t>Annahme</t>
  </si>
  <si>
    <t>Quelle</t>
  </si>
  <si>
    <t>Jahre</t>
  </si>
  <si>
    <t>Buyer RFI / COMM-01</t>
  </si>
  <si>
    <t>Monate je Jahr</t>
  </si>
  <si>
    <t>KB-COMM v2 / section 2</t>
  </si>
  <si>
    <t>Geforderte Berichtswährung</t>
  </si>
  <si>
    <t>USD</t>
  </si>
  <si>
    <t>Buyer RFI; verify live account currency. Do not invent FX.</t>
  </si>
  <si>
    <t>Standorte</t>
  </si>
  <si>
    <t>Buyer RFI / IMPL-01</t>
  </si>
  <si>
    <t>Monatssatz je Standort (USD)</t>
  </si>
  <si>
    <t>Währungsregel</t>
  </si>
  <si>
    <t>Kein Wechselkurs freigegeben. Abweichung bleibt offen.</t>
  </si>
  <si>
    <t>KB-COMM v2 / section 3</t>
  </si>
  <si>
    <t>SKU / Kosten</t>
  </si>
  <si>
    <t>Menge</t>
  </si>
  <si>
    <t>Einzelnetto</t>
  </si>
  <si>
    <t>Währung</t>
  </si>
  <si>
    <t>Jahre / Ereignisse</t>
  </si>
  <si>
    <t>Basis</t>
  </si>
  <si>
    <t>Netto (Währung in D)</t>
  </si>
  <si>
    <t>Quelle / Zeitpunkt</t>
  </si>
  <si>
    <t>Steuersatz</t>
  </si>
  <si>
    <t>Steuer</t>
  </si>
  <si>
    <t>Brutto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</si>
  <si>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</si>
  <si>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</si>
  <si>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</si>
  <si>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</si>
  <si>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</si>
  <si>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</si>
  <si>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</si>
  <si>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</si>
  <si>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</si>
  <si>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</si>
  <si>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</si>
  <si>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</si>
  <si>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</si>
  <si>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</si>
  <si>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Kennzahl</t>
  </si>
  <si>
    <t>Einordnung</t>
  </si>
  <si>
    <t>Berichtswährung</t>
  </si>
  <si>
    <t>USD ist Käuferanforderung, keine Aussage über Live-Atlas.</t>
  </si>
  <si>
    <t>Bekannte Nettoteilsumme</t>
  </si>
  <si>
    <t>PARTIAL: Nur gefüllte Beträge in Berichtswährung; keine vollständigen TCO.</t>
  </si>
  <si>
    <t>Vollständige Netto-TCO</t>
  </si>
  <si>
    <t>Leer heißt fehlender Preis/Zeitraum/Währung; Verlängerung und Fracht sind Pflicht.</t>
  </si>
  <si>
    <t>Vollständige Brutto-TCO</t>
  </si>
  <si>
    <t>Leer heißt unvollständige Steuer oder andere Pflichtbeträge.</t>
  </si>
  <si>
    <t>Netto-Abdeckung</t>
  </si>
  <si>
    <t>Fehlende Kosten OPEN lassen; fehlende Werte nicht durch Null ersetzen.</t>
  </si>
  <si>
    <t>Brutto-Abdeckung</t>
  </si>
  <si>
    <t>Dieses Modell ist ein Entwurf, keine Freigabe.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</si>
</sst>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3">
  <autoFilter ref="A1:R3" xr:uid="{00000000-0009-0000-0100-000001000000}"/>
  <tableColumns count="18">
    <tableColumn id="1" xr3:uid="{00000000-0010-0000-0000-000001000000}" name="ID"/>
    <tableColumn id="2" xr3:uid="{00000000-0010-0000-0000-000002000000}" name="Hauptfrage"/>
    <tableColumn id="3" xr3:uid="{00000000-0010-0000-0000-000003000000}" name="Priorität"/>
    <tableColumn id="4" xr3:uid="{00000000-0010-0000-0000-000004000000}" name="Anforderung"/>
    <tableColumn id="5" xr3:uid="{00000000-0010-0000-0000-000005000000}" name="Format"/>
    <tableColumn id="6" xr3:uid="{00000000-0010-0000-0000-000006000000}" name="Max. Zeichen"/>
    <tableColumn id="7" xr3:uid="{00000000-0010-0000-0000-000007000000}" name="Gilt wenn"/>
    <tableColumn id="8" xr3:uid="{00000000-0010-0000-0000-000008000000}" name="Nachweis nötig"/>
    <tableColumn id="9" xr3:uid="{00000000-0010-0000-0000-000009000000}" name="Antwort"/>
    <tableColumn id="10" xr3:uid="{00000000-0010-0000-0000-00000A000000}" name="Status"/>
    <tableColumn id="11" xr3:uid="{00000000-0010-0000-0000-00000B000000}" name="Quellen-ID"/>
    <tableColumn id="12" xr3:uid="{00000000-0010-0000-0000-00000C000000}" name="Version"/>
    <tableColumn id="13" xr3:uid="{00000000-0010-0000-0000-00000D000000}" name="Abschnitt"/>
    <tableColumn id="14" xr3:uid="{00000000-0010-0000-0000-00000E000000}" name="Cloud-Link"/>
    <tableColumn id="15" xr3:uid="{00000000-0010-0000-0000-00000F000000}" name="Offener Punkt"/>
    <tableColumn id="16" xr3:uid="{00000000-0010-0000-0000-000010000000}" name="Prüfung"/>
    <tableColumn id="17" xr3:uid="{00000000-0010-0000-0000-000011000000}" name="Zeichen"/>
    <tableColumn id="18" xr3:uid="{00000000-0010-0000-0000-000012000000}" name="Limitprü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3">
  <autoFilter ref="A1:R3" xr:uid="{00000000-0009-0000-0100-000002000000}"/>
  <tableColumns count="18">
    <tableColumn id="1" xr3:uid="{00000000-0010-0000-0100-000001000000}" name="ID"/>
    <tableColumn id="2" xr3:uid="{00000000-0010-0000-0100-000002000000}" name="Hauptfrage"/>
    <tableColumn id="3" xr3:uid="{00000000-0010-0000-0100-000003000000}" name="Priorität"/>
    <tableColumn id="4" xr3:uid="{00000000-0010-0000-0100-000004000000}" name="Anforderung"/>
    <tableColumn id="5" xr3:uid="{00000000-0010-0000-0100-000005000000}" name="Format"/>
    <tableColumn id="6" xr3:uid="{00000000-0010-0000-0100-000006000000}" name="Max. Zeichen"/>
    <tableColumn id="7" xr3:uid="{00000000-0010-0000-0100-000007000000}" name="Gilt wenn"/>
    <tableColumn id="8" xr3:uid="{00000000-0010-0000-0100-000008000000}" name="Nachweis nötig"/>
    <tableColumn id="9" xr3:uid="{00000000-0010-0000-0100-000009000000}" name="Antwort"/>
    <tableColumn id="10" xr3:uid="{00000000-0010-0000-0100-00000A000000}" name="Status"/>
    <tableColumn id="11" xr3:uid="{00000000-0010-0000-0100-00000B000000}" name="Quellen-ID"/>
    <tableColumn id="12" xr3:uid="{00000000-0010-0000-0100-00000C000000}" name="Version"/>
    <tableColumn id="13" xr3:uid="{00000000-0010-0000-0100-00000D000000}" name="Abschnitt"/>
    <tableColumn id="14" xr3:uid="{00000000-0010-0000-0100-00000E000000}" name="Cloud-Link"/>
    <tableColumn id="15" xr3:uid="{00000000-0010-0000-0100-00000F000000}" name="Offener Punkt"/>
    <tableColumn id="16" xr3:uid="{00000000-0010-0000-0100-000010000000}" name="Prüfung"/>
    <tableColumn id="17" xr3:uid="{00000000-0010-0000-0100-000011000000}" name="Zeichen"/>
    <tableColumn id="18" xr3:uid="{00000000-0010-0000-0100-000012000000}" name="Limitprüf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3">
  <autoFilter ref="A1:R3" xr:uid="{00000000-0009-0000-0100-000003000000}"/>
  <tableColumns count="18">
    <tableColumn id="1" xr3:uid="{00000000-0010-0000-0200-000001000000}" name="ID"/>
    <tableColumn id="2" xr3:uid="{00000000-0010-0000-0200-000002000000}" name="Hauptfrage"/>
    <tableColumn id="3" xr3:uid="{00000000-0010-0000-0200-000003000000}" name="Priorität"/>
    <tableColumn id="4" xr3:uid="{00000000-0010-0000-0200-000004000000}" name="Anforderung"/>
    <tableColumn id="5" xr3:uid="{00000000-0010-0000-0200-000005000000}" name="Format"/>
    <tableColumn id="6" xr3:uid="{00000000-0010-0000-0200-000006000000}" name="Max. Zeichen"/>
    <tableColumn id="7" xr3:uid="{00000000-0010-0000-0200-000007000000}" name="Gilt wenn"/>
    <tableColumn id="8" xr3:uid="{00000000-0010-0000-0200-000008000000}" name="Nachweis nötig"/>
    <tableColumn id="9" xr3:uid="{00000000-0010-0000-0200-000009000000}" name="Antwort"/>
    <tableColumn id="10" xr3:uid="{00000000-0010-0000-0200-00000A000000}" name="Status"/>
    <tableColumn id="11" xr3:uid="{00000000-0010-0000-0200-00000B000000}" name="Quellen-ID"/>
    <tableColumn id="12" xr3:uid="{00000000-0010-0000-0200-00000C000000}" name="Version"/>
    <tableColumn id="13" xr3:uid="{00000000-0010-0000-0200-00000D000000}" name="Abschnitt"/>
    <tableColumn id="14" xr3:uid="{00000000-0010-0000-0200-00000E000000}" name="Cloud-Link"/>
    <tableColumn id="15" xr3:uid="{00000000-0010-0000-0200-00000F000000}" name="Offener Punkt"/>
    <tableColumn id="16" xr3:uid="{00000000-0010-0000-0200-000010000000}" name="Prüfung"/>
    <tableColumn id="17" xr3:uid="{00000000-0010-0000-0200-000011000000}" name="Zeichen"/>
    <tableColumn id="18" xr3:uid="{00000000-0010-0000-0200-000012000000}" name="Limitprüf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3">
  <autoFilter ref="A1:R3" xr:uid="{00000000-0009-0000-0100-000004000000}"/>
  <tableColumns count="18">
    <tableColumn id="1" xr3:uid="{00000000-0010-0000-0300-000001000000}" name="ID"/>
    <tableColumn id="2" xr3:uid="{00000000-0010-0000-0300-000002000000}" name="Hauptfrage"/>
    <tableColumn id="3" xr3:uid="{00000000-0010-0000-0300-000003000000}" name="Priorität"/>
    <tableColumn id="4" xr3:uid="{00000000-0010-0000-0300-000004000000}" name="Anforderung"/>
    <tableColumn id="5" xr3:uid="{00000000-0010-0000-0300-000005000000}" name="Format"/>
    <tableColumn id="6" xr3:uid="{00000000-0010-0000-0300-000006000000}" name="Max. Zeichen"/>
    <tableColumn id="7" xr3:uid="{00000000-0010-0000-0300-000007000000}" name="Gilt wenn"/>
    <tableColumn id="8" xr3:uid="{00000000-0010-0000-0300-000008000000}" name="Nachweis nötig"/>
    <tableColumn id="9" xr3:uid="{00000000-0010-0000-0300-000009000000}" name="Antwort"/>
    <tableColumn id="10" xr3:uid="{00000000-0010-0000-0300-00000A000000}" name="Status"/>
    <tableColumn id="11" xr3:uid="{00000000-0010-0000-0300-00000B000000}" name="Quellen-ID"/>
    <tableColumn id="12" xr3:uid="{00000000-0010-0000-0300-00000C000000}" name="Version"/>
    <tableColumn id="13" xr3:uid="{00000000-0010-0000-0300-00000D000000}" name="Abschnitt"/>
    <tableColumn id="14" xr3:uid="{00000000-0010-0000-0300-00000E000000}" name="Cloud-Link"/>
    <tableColumn id="15" xr3:uid="{00000000-0010-0000-0300-00000F000000}" name="Offener Punkt"/>
    <tableColumn id="16" xr3:uid="{00000000-0010-0000-0300-000010000000}" name="Prüfung"/>
    <tableColumn id="17" xr3:uid="{00000000-0010-0000-0300-000011000000}" name="Zeichen"/>
    <tableColumn id="18" xr3:uid="{00000000-0010-0000-0300-000012000000}" name="Limitprüf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4">
  <autoFilter ref="A1:R4" xr:uid="{00000000-0009-0000-0100-000005000000}"/>
  <tableColumns count="18">
    <tableColumn id="1" xr3:uid="{00000000-0010-0000-0400-000001000000}" name="ID"/>
    <tableColumn id="2" xr3:uid="{00000000-0010-0000-0400-000002000000}" name="Hauptfrage"/>
    <tableColumn id="3" xr3:uid="{00000000-0010-0000-0400-000003000000}" name="Priorität"/>
    <tableColumn id="4" xr3:uid="{00000000-0010-0000-0400-000004000000}" name="Anforderung"/>
    <tableColumn id="5" xr3:uid="{00000000-0010-0000-0400-000005000000}" name="Format"/>
    <tableColumn id="6" xr3:uid="{00000000-0010-0000-0400-000006000000}" name="Max. Zeichen"/>
    <tableColumn id="7" xr3:uid="{00000000-0010-0000-0400-000007000000}" name="Gilt wenn"/>
    <tableColumn id="8" xr3:uid="{00000000-0010-0000-0400-000008000000}" name="Nachweis nötig"/>
    <tableColumn id="9" xr3:uid="{00000000-0010-0000-0400-000009000000}" name="Antwort"/>
    <tableColumn id="10" xr3:uid="{00000000-0010-0000-0400-00000A000000}" name="Status"/>
    <tableColumn id="11" xr3:uid="{00000000-0010-0000-0400-00000B000000}" name="Quellen-ID"/>
    <tableColumn id="12" xr3:uid="{00000000-0010-0000-0400-00000C000000}" name="Version"/>
    <tableColumn id="13" xr3:uid="{00000000-0010-0000-0400-00000D000000}" name="Abschnitt"/>
    <tableColumn id="14" xr3:uid="{00000000-0010-0000-0400-00000E000000}" name="Cloud-Link"/>
    <tableColumn id="15" xr3:uid="{00000000-0010-0000-0400-00000F000000}" name="Offener Punkt"/>
    <tableColumn id="16" xr3:uid="{00000000-0010-0000-0400-000010000000}" name="Prüfung"/>
    <tableColumn id="17" xr3:uid="{00000000-0010-0000-0400-000011000000}" name="Zeichen"/>
    <tableColumn id="18" xr3:uid="{00000000-0010-0000-0400-000012000000}" name="Limitprüf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4">
  <autoFilter ref="A1:R4" xr:uid="{00000000-0009-0000-0100-000006000000}"/>
  <tableColumns count="18">
    <tableColumn id="1" xr3:uid="{00000000-0010-0000-0500-000001000000}" name="ID"/>
    <tableColumn id="2" xr3:uid="{00000000-0010-0000-0500-000002000000}" name="Hauptfrage"/>
    <tableColumn id="3" xr3:uid="{00000000-0010-0000-0500-000003000000}" name="Priorität"/>
    <tableColumn id="4" xr3:uid="{00000000-0010-0000-0500-000004000000}" name="Anforderung"/>
    <tableColumn id="5" xr3:uid="{00000000-0010-0000-0500-000005000000}" name="Format"/>
    <tableColumn id="6" xr3:uid="{00000000-0010-0000-0500-000006000000}" name="Max. Zeichen"/>
    <tableColumn id="7" xr3:uid="{00000000-0010-0000-0500-000007000000}" name="Gilt wenn"/>
    <tableColumn id="8" xr3:uid="{00000000-0010-0000-0500-000008000000}" name="Nachweis nötig"/>
    <tableColumn id="9" xr3:uid="{00000000-0010-0000-0500-000009000000}" name="Antwort"/>
    <tableColumn id="10" xr3:uid="{00000000-0010-0000-0500-00000A000000}" name="Status"/>
    <tableColumn id="11" xr3:uid="{00000000-0010-0000-0500-00000B000000}" name="Quellen-ID"/>
    <tableColumn id="12" xr3:uid="{00000000-0010-0000-0500-00000C000000}" name="Version"/>
    <tableColumn id="13" xr3:uid="{00000000-0010-0000-0500-00000D000000}" name="Abschnitt"/>
    <tableColumn id="14" xr3:uid="{00000000-0010-0000-0500-00000E000000}" name="Cloud-Link"/>
    <tableColumn id="15" xr3:uid="{00000000-0010-0000-0500-00000F000000}" name="Offener Punkt"/>
    <tableColumn id="16" xr3:uid="{00000000-0010-0000-0500-000010000000}" name="Prüfung"/>
    <tableColumn id="17" xr3:uid="{00000000-0010-0000-0500-000011000000}" name="Zeichen"/>
    <tableColumn id="18" xr3:uid="{00000000-0010-0000-0500-000012000000}" name="Limitprüfu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3">
  <autoFilter ref="A1:R3" xr:uid="{00000000-0009-0000-0100-000007000000}"/>
  <tableColumns count="18">
    <tableColumn id="1" xr3:uid="{00000000-0010-0000-0600-000001000000}" name="ID"/>
    <tableColumn id="2" xr3:uid="{00000000-0010-0000-0600-000002000000}" name="Hauptfrage"/>
    <tableColumn id="3" xr3:uid="{00000000-0010-0000-0600-000003000000}" name="Priorität"/>
    <tableColumn id="4" xr3:uid="{00000000-0010-0000-0600-000004000000}" name="Anforderung"/>
    <tableColumn id="5" xr3:uid="{00000000-0010-0000-0600-000005000000}" name="Format"/>
    <tableColumn id="6" xr3:uid="{00000000-0010-0000-0600-000006000000}" name="Max. Zeichen"/>
    <tableColumn id="7" xr3:uid="{00000000-0010-0000-0600-000007000000}" name="Gilt wenn"/>
    <tableColumn id="8" xr3:uid="{00000000-0010-0000-0600-000008000000}" name="Nachweis nötig"/>
    <tableColumn id="9" xr3:uid="{00000000-0010-0000-0600-000009000000}" name="Antwort"/>
    <tableColumn id="10" xr3:uid="{00000000-0010-0000-0600-00000A000000}" name="Status"/>
    <tableColumn id="11" xr3:uid="{00000000-0010-0000-0600-00000B000000}" name="Quellen-ID"/>
    <tableColumn id="12" xr3:uid="{00000000-0010-0000-0600-00000C000000}" name="Version"/>
    <tableColumn id="13" xr3:uid="{00000000-0010-0000-0600-00000D000000}" name="Abschnitt"/>
    <tableColumn id="14" xr3:uid="{00000000-0010-0000-0600-00000E000000}" name="Cloud-Link"/>
    <tableColumn id="15" xr3:uid="{00000000-0010-0000-0600-00000F000000}" name="Offener Punkt"/>
    <tableColumn id="16" xr3:uid="{00000000-0010-0000-0600-000010000000}" name="Prüfung"/>
    <tableColumn id="17" xr3:uid="{00000000-0010-0000-0600-000011000000}" name="Zeichen"/>
    <tableColumn id="18" xr3:uid="{00000000-0010-0000-0600-000012000000}" name="Limitprüfu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3">
  <autoFilter ref="A1:R3" xr:uid="{00000000-0009-0000-0100-000008000000}"/>
  <tableColumns count="18">
    <tableColumn id="1" xr3:uid="{00000000-0010-0000-0700-000001000000}" name="ID"/>
    <tableColumn id="2" xr3:uid="{00000000-0010-0000-0700-000002000000}" name="Hauptfrage"/>
    <tableColumn id="3" xr3:uid="{00000000-0010-0000-0700-000003000000}" name="Priorität"/>
    <tableColumn id="4" xr3:uid="{00000000-0010-0000-0700-000004000000}" name="Anforderung"/>
    <tableColumn id="5" xr3:uid="{00000000-0010-0000-0700-000005000000}" name="Format"/>
    <tableColumn id="6" xr3:uid="{00000000-0010-0000-0700-000006000000}" name="Max. Zeichen"/>
    <tableColumn id="7" xr3:uid="{00000000-0010-0000-0700-000007000000}" name="Gilt wenn"/>
    <tableColumn id="8" xr3:uid="{00000000-0010-0000-0700-000008000000}" name="Nachweis nötig"/>
    <tableColumn id="9" xr3:uid="{00000000-0010-0000-0700-000009000000}" name="Antwort"/>
    <tableColumn id="10" xr3:uid="{00000000-0010-0000-0700-00000A000000}" name="Status"/>
    <tableColumn id="11" xr3:uid="{00000000-0010-0000-0700-00000B000000}" name="Quellen-ID"/>
    <tableColumn id="12" xr3:uid="{00000000-0010-0000-0700-00000C000000}" name="Version"/>
    <tableColumn id="13" xr3:uid="{00000000-0010-0000-0700-00000D000000}" name="Abschnitt"/>
    <tableColumn id="14" xr3:uid="{00000000-0010-0000-0700-00000E000000}" name="Cloud-Link"/>
    <tableColumn id="15" xr3:uid="{00000000-0010-0000-0700-00000F000000}" name="Offener Punkt"/>
    <tableColumn id="16" xr3:uid="{00000000-0010-0000-0700-000010000000}" name="Prüfung"/>
    <tableColumn id="17" xr3:uid="{00000000-0010-0000-0700-000011000000}" name="Zeichen"/>
    <tableColumn id="18" xr3:uid="{00000000-0010-0000-0700-000012000000}" name="Limitprüfu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3">
  <autoFilter ref="A1:R3" xr:uid="{00000000-0009-0000-0100-000009000000}"/>
  <tableColumns count="18">
    <tableColumn id="1" xr3:uid="{00000000-0010-0000-0800-000001000000}" name="ID"/>
    <tableColumn id="2" xr3:uid="{00000000-0010-0000-0800-000002000000}" name="Hauptfrage"/>
    <tableColumn id="3" xr3:uid="{00000000-0010-0000-0800-000003000000}" name="Priorität"/>
    <tableColumn id="4" xr3:uid="{00000000-0010-0000-0800-000004000000}" name="Anforderung"/>
    <tableColumn id="5" xr3:uid="{00000000-0010-0000-0800-000005000000}" name="Format"/>
    <tableColumn id="6" xr3:uid="{00000000-0010-0000-0800-000006000000}" name="Max. Zeichen"/>
    <tableColumn id="7" xr3:uid="{00000000-0010-0000-0800-000007000000}" name="Gilt wenn"/>
    <tableColumn id="8" xr3:uid="{00000000-0010-0000-0800-000008000000}" name="Nachweis nötig"/>
    <tableColumn id="9" xr3:uid="{00000000-0010-0000-0800-000009000000}" name="Antwort"/>
    <tableColumn id="10" xr3:uid="{00000000-0010-0000-0800-00000A000000}" name="Status"/>
    <tableColumn id="11" xr3:uid="{00000000-0010-0000-0800-00000B000000}" name="Quellen-ID"/>
    <tableColumn id="12" xr3:uid="{00000000-0010-0000-0800-00000C000000}" name="Version"/>
    <tableColumn id="13" xr3:uid="{00000000-0010-0000-0800-00000D000000}" name="Abschnitt"/>
    <tableColumn id="14" xr3:uid="{00000000-0010-0000-0800-00000E000000}" name="Cloud-Link"/>
    <tableColumn id="15" xr3:uid="{00000000-0010-0000-0800-00000F000000}" name="Offener Punkt"/>
    <tableColumn id="16" xr3:uid="{00000000-0010-0000-0800-000010000000}" name="Prüfung"/>
    <tableColumn id="17" xr3:uid="{00000000-0010-0000-0800-000011000000}" name="Zeichen"/>
    <tableColumn id="18" xr3:uid="{00000000-0010-0000-0800-000012000000}" name="Limitprüfu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3">
  <autoFilter ref="A1:R3" xr:uid="{00000000-0009-0000-0100-00000A000000}"/>
  <tableColumns count="18">
    <tableColumn id="1" xr3:uid="{00000000-0010-0000-0900-000001000000}" name="ID"/>
    <tableColumn id="2" xr3:uid="{00000000-0010-0000-0900-000002000000}" name="Hauptfrage"/>
    <tableColumn id="3" xr3:uid="{00000000-0010-0000-0900-000003000000}" name="Priorität"/>
    <tableColumn id="4" xr3:uid="{00000000-0010-0000-0900-000004000000}" name="Anforderung"/>
    <tableColumn id="5" xr3:uid="{00000000-0010-0000-0900-000005000000}" name="Format"/>
    <tableColumn id="6" xr3:uid="{00000000-0010-0000-0900-000006000000}" name="Max. Zeichen"/>
    <tableColumn id="7" xr3:uid="{00000000-0010-0000-0900-000007000000}" name="Gilt wenn"/>
    <tableColumn id="8" xr3:uid="{00000000-0010-0000-0900-000008000000}" name="Nachweis nötig"/>
    <tableColumn id="9" xr3:uid="{00000000-0010-0000-0900-000009000000}" name="Antwort"/>
    <tableColumn id="10" xr3:uid="{00000000-0010-0000-0900-00000A000000}" name="Status"/>
    <tableColumn id="11" xr3:uid="{00000000-0010-0000-0900-00000B000000}" name="Quellen-ID"/>
    <tableColumn id="12" xr3:uid="{00000000-0010-0000-0900-00000C000000}" name="Version"/>
    <tableColumn id="13" xr3:uid="{00000000-0010-0000-0900-00000D000000}" name="Abschnitt"/>
    <tableColumn id="14" xr3:uid="{00000000-0010-0000-0900-00000E000000}" name="Cloud-Link"/>
    <tableColumn id="15" xr3:uid="{00000000-0010-0000-0900-00000F000000}" name="Offener Punkt"/>
    <tableColumn id="16" xr3:uid="{00000000-0010-0000-0900-000010000000}" name="Prüfung"/>
    <tableColumn id="17" xr3:uid="{00000000-0010-0000-0900-000011000000}" name="Zeichen"/>
    <tableColumn id="18" xr3:uid="{00000000-0010-0000-0900-000012000000}" name="Limitprüfu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3">
  <autoFilter ref="A1:R3" xr:uid="{00000000-0009-0000-0100-00000B000000}"/>
  <tableColumns count="18">
    <tableColumn id="1" xr3:uid="{00000000-0010-0000-0A00-000001000000}" name="ID"/>
    <tableColumn id="2" xr3:uid="{00000000-0010-0000-0A00-000002000000}" name="Hauptfrage"/>
    <tableColumn id="3" xr3:uid="{00000000-0010-0000-0A00-000003000000}" name="Priorität"/>
    <tableColumn id="4" xr3:uid="{00000000-0010-0000-0A00-000004000000}" name="Anforderung"/>
    <tableColumn id="5" xr3:uid="{00000000-0010-0000-0A00-000005000000}" name="Format"/>
    <tableColumn id="6" xr3:uid="{00000000-0010-0000-0A00-000006000000}" name="Max. Zeichen"/>
    <tableColumn id="7" xr3:uid="{00000000-0010-0000-0A00-000007000000}" name="Gilt wenn"/>
    <tableColumn id="8" xr3:uid="{00000000-0010-0000-0A00-000008000000}" name="Nachweis nötig"/>
    <tableColumn id="9" xr3:uid="{00000000-0010-0000-0A00-000009000000}" name="Antwort"/>
    <tableColumn id="10" xr3:uid="{00000000-0010-0000-0A00-00000A000000}" name="Status"/>
    <tableColumn id="11" xr3:uid="{00000000-0010-0000-0A00-00000B000000}" name="Quellen-ID"/>
    <tableColumn id="12" xr3:uid="{00000000-0010-0000-0A00-00000C000000}" name="Version"/>
    <tableColumn id="13" xr3:uid="{00000000-0010-0000-0A00-00000D000000}" name="Abschnitt"/>
    <tableColumn id="14" xr3:uid="{00000000-0010-0000-0A00-00000E000000}" name="Cloud-Link"/>
    <tableColumn id="15" xr3:uid="{00000000-0010-0000-0A00-00000F000000}" name="Offener Punkt"/>
    <tableColumn id="16" xr3:uid="{00000000-0010-0000-0A00-000010000000}" name="Prüfung"/>
    <tableColumn id="17" xr3:uid="{00000000-0010-0000-0A00-000011000000}" name="Zeichen"/>
    <tableColumn id="18" xr3:uid="{00000000-0010-0000-0A00-000012000000}" name="Limitprüfu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5">
  <autoFilter ref="A1:R5" xr:uid="{00000000-0009-0000-0100-00000C000000}"/>
  <tableColumns count="18">
    <tableColumn id="1" xr3:uid="{00000000-0010-0000-0B00-000001000000}" name="ID"/>
    <tableColumn id="2" xr3:uid="{00000000-0010-0000-0B00-000002000000}" name="Hauptfrage"/>
    <tableColumn id="3" xr3:uid="{00000000-0010-0000-0B00-000003000000}" name="Priorität"/>
    <tableColumn id="4" xr3:uid="{00000000-0010-0000-0B00-000004000000}" name="Anforderung"/>
    <tableColumn id="5" xr3:uid="{00000000-0010-0000-0B00-000005000000}" name="Format"/>
    <tableColumn id="6" xr3:uid="{00000000-0010-0000-0B00-000006000000}" name="Max. Zeichen"/>
    <tableColumn id="7" xr3:uid="{00000000-0010-0000-0B00-000007000000}" name="Gilt wenn"/>
    <tableColumn id="8" xr3:uid="{00000000-0010-0000-0B00-000008000000}" name="Nachweis nötig"/>
    <tableColumn id="9" xr3:uid="{00000000-0010-0000-0B00-000009000000}" name="Antwort"/>
    <tableColumn id="10" xr3:uid="{00000000-0010-0000-0B00-00000A000000}" name="Status"/>
    <tableColumn id="11" xr3:uid="{00000000-0010-0000-0B00-00000B000000}" name="Quellen-ID"/>
    <tableColumn id="12" xr3:uid="{00000000-0010-0000-0B00-00000C000000}" name="Version"/>
    <tableColumn id="13" xr3:uid="{00000000-0010-0000-0B00-00000D000000}" name="Abschnitt"/>
    <tableColumn id="14" xr3:uid="{00000000-0010-0000-0B00-00000E000000}" name="Cloud-Link"/>
    <tableColumn id="15" xr3:uid="{00000000-0010-0000-0B00-00000F000000}" name="Offener Punkt"/>
    <tableColumn id="16" xr3:uid="{00000000-0010-0000-0B00-000010000000}" name="Prüfung"/>
    <tableColumn id="17" xr3:uid="{00000000-0010-0000-0B00-000011000000}" name="Zeichen"/>
    <tableColumn id="18" xr3:uid="{00000000-0010-0000-0B00-000012000000}" name="Limit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DE-COMPACT-05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28</v>
      </c>
    </row>
    <row r="6" spans="1:2" ht="42" customHeight="1" x14ac:dyDescent="0.25">
      <c r="A6" s="2" t="s">
        <v>9</v>
      </c>
      <c r="B6" s="2" t="inlineStr">
        <is>
          <t>Demo-Kit/Cowork/cowork-rfi-rfp/runs/de/compact/05/results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49</v>
      </c>
      <c r="B2" s="2"/>
      <c r="C2" s="2" t="s">
        <v>42</v>
      </c>
      <c r="D2" s="2" t="s">
        <v>50</v>
      </c>
      <c r="E2" s="2" t="s">
        <v>44</v>
      </c>
      <c r="F2" s="2">
        <v>450</v>
      </c>
      <c r="G2" s="2" t="s">
        <v>45</v>
      </c>
      <c r="H2" s="2" t="s">
        <v>51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52</v>
      </c>
      <c r="B3" s="2"/>
      <c r="C3" s="2" t="s">
        <v>42</v>
      </c>
      <c r="D3" s="2" t="s">
        <v>53</v>
      </c>
      <c r="E3" s="2" t="s">
        <v>44</v>
      </c>
      <c r="F3" s="2">
        <v>450</v>
      </c>
      <c r="G3" s="2" t="s">
        <v>45</v>
      </c>
      <c r="H3" s="2" t="s">
        <v>51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54</v>
      </c>
      <c r="B2" s="2"/>
      <c r="C2" s="2" t="s">
        <v>42</v>
      </c>
      <c r="D2" s="2" t="s">
        <v>55</v>
      </c>
      <c r="E2" s="2" t="s">
        <v>44</v>
      </c>
      <c r="F2" s="2">
        <v>450</v>
      </c>
      <c r="G2" s="2" t="s">
        <v>45</v>
      </c>
      <c r="H2" s="2" t="s">
        <v>56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57</v>
      </c>
      <c r="B3" s="2"/>
      <c r="C3" s="2" t="s">
        <v>42</v>
      </c>
      <c r="D3" s="2" t="s">
        <v>58</v>
      </c>
      <c r="E3" s="2" t="s">
        <v>59</v>
      </c>
      <c r="F3" s="2">
        <v>450</v>
      </c>
      <c r="G3" s="2" t="s">
        <v>45</v>
      </c>
      <c r="H3" s="2" t="s">
        <v>56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60</v>
      </c>
      <c r="B2" s="2"/>
      <c r="C2" s="2" t="s">
        <v>42</v>
      </c>
      <c r="D2" s="2" t="s">
        <v>61</v>
      </c>
      <c r="E2" s="2" t="s">
        <v>62</v>
      </c>
      <c r="F2" s="2">
        <v>160</v>
      </c>
      <c r="G2" s="2" t="s">
        <v>45</v>
      </c>
      <c r="H2" s="2" t="s">
        <v>63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64</v>
      </c>
      <c r="B3" s="2" t="s">
        <v>60</v>
      </c>
      <c r="C3" s="2" t="s">
        <v>42</v>
      </c>
      <c r="D3" s="2" t="s">
        <v>65</v>
      </c>
      <c r="E3" s="2" t="s">
        <v>66</v>
      </c>
      <c r="F3" s="2">
        <v>450</v>
      </c>
      <c r="G3" s="2" t="s">
        <v>67</v>
      </c>
      <c r="H3" s="2" t="s">
        <v>63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70</v>
      </c>
      <c r="F2" s="2">
        <v>450</v>
      </c>
      <c r="G2" s="2" t="s">
        <v>45</v>
      </c>
      <c r="H2" s="2" t="s">
        <v>71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72</v>
      </c>
      <c r="B3" s="2" t="s">
        <v>68</v>
      </c>
      <c r="C3" s="2" t="s">
        <v>42</v>
      </c>
      <c r="D3" s="2" t="s">
        <v>73</v>
      </c>
      <c r="E3" s="2" t="s">
        <v>44</v>
      </c>
      <c r="F3" s="2">
        <v>450</v>
      </c>
      <c r="G3" s="2" t="s">
        <v>74</v>
      </c>
      <c r="H3" s="2" t="s">
        <v>71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75</v>
      </c>
      <c r="B4" s="2"/>
      <c r="C4" s="2" t="s">
        <v>42</v>
      </c>
      <c r="D4" s="2" t="s">
        <v>76</v>
      </c>
      <c r="E4" s="2" t="s">
        <v>44</v>
      </c>
      <c r="F4" s="2">
        <v>450</v>
      </c>
      <c r="G4" s="2" t="s">
        <v>45</v>
      </c>
      <c r="H4" s="2" t="s">
        <v>71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77</v>
      </c>
      <c r="B2" s="2"/>
      <c r="C2" s="2" t="s">
        <v>42</v>
      </c>
      <c r="D2" s="2" t="s">
        <v>78</v>
      </c>
      <c r="E2" s="2" t="s">
        <v>79</v>
      </c>
      <c r="F2" s="2">
        <v>160</v>
      </c>
      <c r="G2" s="2" t="s">
        <v>45</v>
      </c>
      <c r="H2" s="2" t="s">
        <v>80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81</v>
      </c>
      <c r="B3" s="2" t="s">
        <v>77</v>
      </c>
      <c r="C3" s="2" t="s">
        <v>42</v>
      </c>
      <c r="D3" s="2" t="s">
        <v>82</v>
      </c>
      <c r="E3" s="2" t="s">
        <v>83</v>
      </c>
      <c r="F3" s="2">
        <v>450</v>
      </c>
      <c r="G3" s="2" t="s">
        <v>84</v>
      </c>
      <c r="H3" s="2" t="s">
        <v>80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85</v>
      </c>
      <c r="B4" s="2"/>
      <c r="C4" s="2" t="s">
        <v>42</v>
      </c>
      <c r="D4" s="2" t="s">
        <v>86</v>
      </c>
      <c r="E4" s="2" t="s">
        <v>44</v>
      </c>
      <c r="F4" s="2">
        <v>450</v>
      </c>
      <c r="G4" s="2" t="s">
        <v>45</v>
      </c>
      <c r="H4" s="2" t="s">
        <v>80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87</v>
      </c>
      <c r="B2" s="2"/>
      <c r="C2" s="2" t="s">
        <v>42</v>
      </c>
      <c r="D2" s="2" t="s">
        <v>88</v>
      </c>
      <c r="E2" s="2" t="s">
        <v>44</v>
      </c>
      <c r="F2" s="2">
        <v>450</v>
      </c>
      <c r="G2" s="2" t="s">
        <v>45</v>
      </c>
      <c r="H2" s="2" t="s">
        <v>89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90</v>
      </c>
      <c r="B3" s="2"/>
      <c r="C3" s="2" t="s">
        <v>42</v>
      </c>
      <c r="D3" s="2" t="s">
        <v>91</v>
      </c>
      <c r="E3" s="2" t="s">
        <v>44</v>
      </c>
      <c r="F3" s="2">
        <v>450</v>
      </c>
      <c r="G3" s="2" t="s">
        <v>45</v>
      </c>
      <c r="H3" s="2" t="s">
        <v>89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92</v>
      </c>
      <c r="B2" s="2"/>
      <c r="C2" s="2" t="s">
        <v>42</v>
      </c>
      <c r="D2" s="2" t="s">
        <v>93</v>
      </c>
      <c r="E2" s="2" t="s">
        <v>44</v>
      </c>
      <c r="F2" s="2">
        <v>450</v>
      </c>
      <c r="G2" s="2" t="s">
        <v>45</v>
      </c>
      <c r="H2" s="2" t="s">
        <v>94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95</v>
      </c>
      <c r="B3" s="2"/>
      <c r="C3" s="2" t="s">
        <v>42</v>
      </c>
      <c r="D3" s="2" t="s">
        <v>96</v>
      </c>
      <c r="E3" s="2" t="s">
        <v>44</v>
      </c>
      <c r="F3" s="2">
        <v>450</v>
      </c>
      <c r="G3" s="2" t="s">
        <v>45</v>
      </c>
      <c r="H3" s="2" t="s">
        <v>94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97</v>
      </c>
      <c r="B2" s="2"/>
      <c r="C2" s="2" t="s">
        <v>42</v>
      </c>
      <c r="D2" s="2" t="s">
        <v>98</v>
      </c>
      <c r="E2" s="2" t="s">
        <v>44</v>
      </c>
      <c r="F2" s="2">
        <v>450</v>
      </c>
      <c r="G2" s="2" t="s">
        <v>45</v>
      </c>
      <c r="H2" s="2" t="s">
        <v>99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100</v>
      </c>
      <c r="B3" s="2"/>
      <c r="C3" s="2" t="s">
        <v>42</v>
      </c>
      <c r="D3" s="2" t="s">
        <v>101</v>
      </c>
      <c r="E3" s="2" t="s">
        <v>44</v>
      </c>
      <c r="F3" s="2">
        <v>450</v>
      </c>
      <c r="G3" s="2" t="s">
        <v>45</v>
      </c>
      <c r="H3" s="2" t="s">
        <v>99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102</v>
      </c>
      <c r="B2" s="2"/>
      <c r="C2" s="2" t="s">
        <v>42</v>
      </c>
      <c r="D2" s="2" t="s">
        <v>103</v>
      </c>
      <c r="E2" s="2" t="s">
        <v>44</v>
      </c>
      <c r="F2" s="2">
        <v>450</v>
      </c>
      <c r="G2" s="2" t="s">
        <v>45</v>
      </c>
      <c r="H2" s="2" t="s">
        <v>104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105</v>
      </c>
      <c r="B3" s="2" t="s">
        <v>102</v>
      </c>
      <c r="C3" s="2" t="s">
        <v>42</v>
      </c>
      <c r="D3" s="2" t="s">
        <v>106</v>
      </c>
      <c r="E3" s="2" t="s">
        <v>44</v>
      </c>
      <c r="F3" s="2">
        <v>450</v>
      </c>
      <c r="G3" s="2" t="s">
        <v>107</v>
      </c>
      <c r="H3" s="2" t="s">
        <v>104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108</v>
      </c>
      <c r="B2" s="2"/>
      <c r="C2" s="2" t="s">
        <v>42</v>
      </c>
      <c r="D2" s="2" t="s">
        <v>109</v>
      </c>
      <c r="E2" s="2" t="s">
        <v>110</v>
      </c>
      <c r="F2" s="2">
        <v>160</v>
      </c>
      <c r="G2" s="2" t="s">
        <v>45</v>
      </c>
      <c r="H2" s="2" t="s">
        <v>111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112</v>
      </c>
      <c r="B3" s="2" t="s">
        <v>108</v>
      </c>
      <c r="C3" s="2" t="s">
        <v>42</v>
      </c>
      <c r="D3" s="2" t="s">
        <v>113</v>
      </c>
      <c r="E3" s="2" t="s">
        <v>44</v>
      </c>
      <c r="F3" s="2">
        <v>450</v>
      </c>
      <c r="G3" s="2" t="s">
        <v>114</v>
      </c>
      <c r="H3" s="2" t="s">
        <v>111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5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450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119</v>
      </c>
      <c r="B3" s="2"/>
      <c r="C3" s="2" t="s">
        <v>42</v>
      </c>
      <c r="D3" s="2" t="s">
        <v>120</v>
      </c>
      <c r="E3" s="2" t="s">
        <v>44</v>
      </c>
      <c r="F3" s="2">
        <v>450</v>
      </c>
      <c r="G3" s="2" t="s">
        <v>45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121</v>
      </c>
      <c r="B4" s="2"/>
      <c r="C4" s="2" t="s">
        <v>42</v>
      </c>
      <c r="D4" s="2" t="s">
        <v>122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  <row r="5" spans="1:18" ht="84" customHeight="1" x14ac:dyDescent="0.25">
      <c r="A5" s="2" t="s">
        <v>123</v>
      </c>
      <c r="B5" s="2"/>
      <c r="C5" s="2" t="s">
        <v>42</v>
      </c>
      <c r="D5" s="2" t="s">
        <v>124</v>
      </c>
      <c r="E5" s="2" t="s">
        <v>125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>LEN(I5)</f>
        <v>0</v>
      </c>
      <c r="R5" s="2" t="str">
        <f>IF(I5="","",IF(Q5&lt;=F5,"OK","OVER"))</f>
        <v/>
      </c>
    </row>
  </sheetData>
  <dataValidations count="2">
    <dataValidation type="list" allowBlank="1" showErrorMessage="1" errorTitle="Invalid status" error="Use a listed status and explain unresolved requirements." sqref="J2:J5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5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126</v>
      </c>
      <c r="B1" s="1" t="s">
        <v>1</v>
      </c>
      <c r="C1" s="1" t="s">
        <v>127</v>
      </c>
    </row>
    <row r="2" spans="1:3" ht="42" customHeight="1" x14ac:dyDescent="0.25">
      <c r="A2" s="2" t="s">
        <v>128</v>
      </c>
      <c r="B2" s="4">
        <v>5</v>
      </c>
      <c r="C2" s="2" t="s">
        <v>129</v>
      </c>
    </row>
    <row r="3" spans="1:3" ht="42" customHeight="1" x14ac:dyDescent="0.25">
      <c r="A3" s="2" t="s">
        <v>130</v>
      </c>
      <c r="B3" s="4">
        <v>12</v>
      </c>
      <c r="C3" s="2" t="s">
        <v>131</v>
      </c>
    </row>
    <row r="4" spans="1:3" ht="42" customHeight="1" x14ac:dyDescent="0.25">
      <c r="A4" s="2" t="s">
        <v>132</v>
      </c>
      <c r="B4" s="2" t="s">
        <v>133</v>
      </c>
      <c r="C4" s="2" t="s">
        <v>134</v>
      </c>
    </row>
    <row r="5" spans="1:3" ht="42" customHeight="1" x14ac:dyDescent="0.25">
      <c r="A5" s="2" t="s">
        <v>135</v>
      </c>
      <c r="B5" s="4">
        <v>12</v>
      </c>
      <c r="C5" s="2" t="s">
        <v>136</v>
      </c>
    </row>
    <row r="6" spans="1:3" ht="42" customHeight="1" x14ac:dyDescent="0.25">
      <c r="A6" s="2" t="s">
        <v>137</v>
      </c>
      <c r="B6" s="4">
        <v>240</v>
      </c>
      <c r="C6" s="2" t="s">
        <v>131</v>
      </c>
    </row>
    <row r="7" spans="1:3" ht="42" customHeight="1" x14ac:dyDescent="0.25">
      <c r="A7" s="2" t="s">
        <v>138</v>
      </c>
      <c r="B7" s="2" t="s">
        <v>139</v>
      </c>
      <c r="C7" s="2" t="s">
        <v>140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38</v>
      </c>
    </row>
    <row r="2" spans="1:12" ht="42" customHeight="1" x14ac:dyDescent="0.25">
      <c r="A2" s="4" t="s">
        <v>152</v>
      </c>
      <c r="B2" s="4">
        <v>24</v>
      </c>
      <c r="C2" s="5"/>
      <c r="D2" s="6"/>
      <c r="E2" s="4">
        <v>1</v>
      </c>
      <c r="F2" s="4" t="s">
        <v>153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154</v>
      </c>
      <c r="B3" s="4">
        <v>48</v>
      </c>
      <c r="C3" s="5"/>
      <c r="D3" s="6"/>
      <c r="E3" s="4">
        <v>1</v>
      </c>
      <c r="F3" s="4" t="s">
        <v>153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155</v>
      </c>
      <c r="B4" s="4">
        <v>48</v>
      </c>
      <c r="C4" s="5"/>
      <c r="D4" s="6"/>
      <c r="E4" s="4">
        <v>1</v>
      </c>
      <c r="F4" s="4" t="s">
        <v>153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156</v>
      </c>
      <c r="B5" s="4">
        <v>12</v>
      </c>
      <c r="C5" s="5"/>
      <c r="D5" s="6"/>
      <c r="E5" s="4">
        <v>1</v>
      </c>
      <c r="F5" s="4" t="s">
        <v>153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157</v>
      </c>
      <c r="B6" s="4">
        <v>24</v>
      </c>
      <c r="C6" s="5"/>
      <c r="D6" s="6"/>
      <c r="E6" s="4">
        <v>1</v>
      </c>
      <c r="F6" s="4" t="s">
        <v>153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158</v>
      </c>
      <c r="B7" s="4">
        <v>1</v>
      </c>
      <c r="C7" s="5"/>
      <c r="D7" s="6"/>
      <c r="E7" s="4">
        <v>1</v>
      </c>
      <c r="F7" s="4" t="s">
        <v>153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159</v>
      </c>
      <c r="B8" s="4">
        <v>24</v>
      </c>
      <c r="C8" s="5"/>
      <c r="D8" s="6"/>
      <c r="E8" s="4">
        <v>1</v>
      </c>
      <c r="F8" s="4" t="s">
        <v>153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160</v>
      </c>
      <c r="B9" s="10">
        <f>Assumptions!B5</f>
        <v>12</v>
      </c>
      <c r="C9" s="11">
        <f>Assumptions!B6</f>
        <v>240</v>
      </c>
      <c r="D9" s="6" t="s">
        <v>133</v>
      </c>
      <c r="E9" s="10">
        <f>Assumptions!B2</f>
        <v>5</v>
      </c>
      <c r="F9" s="4" t="s">
        <v>161</v>
      </c>
      <c r="G9" s="7">
        <f>IF(COUNT(B9,C9,E9)=3,ROUND(B9*ROUND(C9,2)*E9*IF(F9="Monthly",Assumptions!$B$3,1),2),"")</f>
        <v>172800</v>
      </c>
      <c r="H9" s="6" t="s">
        <v>162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163</v>
      </c>
      <c r="B10" s="4">
        <v>24</v>
      </c>
      <c r="C10" s="5"/>
      <c r="D10" s="6"/>
      <c r="E10" s="4">
        <v>2</v>
      </c>
      <c r="F10" s="4" t="s">
        <v>164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165</v>
      </c>
      <c r="B11" s="4">
        <v>1</v>
      </c>
      <c r="C11" s="5"/>
      <c r="D11" s="6"/>
      <c r="E11" s="4">
        <v>1</v>
      </c>
      <c r="F11" s="4" t="s">
        <v>153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166</v>
      </c>
      <c r="B1" s="1" t="s">
        <v>1</v>
      </c>
      <c r="C1" s="1" t="s">
        <v>167</v>
      </c>
    </row>
    <row r="2" spans="1:3" ht="42" customHeight="1" x14ac:dyDescent="0.25">
      <c r="A2" s="2" t="s">
        <v>168</v>
      </c>
      <c r="B2" s="2" t="str">
        <f>Assumptions!B4</f>
        <v>USD</v>
      </c>
      <c r="C2" s="2" t="s">
        <v>169</v>
      </c>
    </row>
    <row r="3" spans="1:3" ht="42" customHeight="1" x14ac:dyDescent="0.25">
      <c r="A3" s="2" t="s">
        <v>170</v>
      </c>
      <c r="B3" s="12">
        <f>SUMIF(Pricing!D2:D11,Assumptions!B4,Pricing!G2:G11)</f>
        <v>172800</v>
      </c>
      <c r="C3" s="2" t="s">
        <v>171</v>
      </c>
    </row>
    <row r="4" spans="1:3" ht="42" customHeight="1" x14ac:dyDescent="0.25">
      <c r="A4" s="2" t="s">
        <v>172</v>
      </c>
      <c r="B4" s="12" t="str">
        <f>IF(AND(COUNT(Pricing!G2:G11)=10,COUNTIF(Pricing!D2:D11,Assumptions!B4)=10),SUM(Pricing!G2:G11),"")</f>
        <v/>
      </c>
      <c r="C4" s="2" t="s">
        <v>173</v>
      </c>
    </row>
    <row r="5" spans="1:3" ht="42" customHeight="1" x14ac:dyDescent="0.25">
      <c r="A5" s="2" t="s">
        <v>174</v>
      </c>
      <c r="B5" s="12" t="str">
        <f>IF(AND(COUNT(Pricing!K2:K11)=10,COUNTIF(Pricing!D2:D11,Assumptions!B4)=10),SUM(Pricing!K2:K11),"")</f>
        <v/>
      </c>
      <c r="C5" s="2" t="s">
        <v>175</v>
      </c>
    </row>
    <row r="6" spans="1:3" ht="42" customHeight="1" x14ac:dyDescent="0.25">
      <c r="A6" s="2" t="s">
        <v>176</v>
      </c>
      <c r="B6" s="2" t="str">
        <f>IF(AND(COUNT(Pricing!G2:G11)=10,COUNTIF(Pricing!D2:D11,Assumptions!B4)=10),"COMPLETE","PARTIAL")</f>
        <v>PARTIAL</v>
      </c>
      <c r="C6" s="2" t="s">
        <v>177</v>
      </c>
    </row>
    <row r="7" spans="1:3" ht="42" customHeight="1" x14ac:dyDescent="0.25">
      <c r="A7" s="2" t="s">
        <v>178</v>
      </c>
      <c r="B7" s="2" t="str">
        <f>IF(AND(COUNT(Pricing!K2:K11)=10,COUNTIF(Pricing!D2:D11,Assumptions!B4)=10),"COMPLETE","PARTIAL")</f>
        <v>PARTIAL</v>
      </c>
      <c r="C7" s="2" t="s">
        <v>179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